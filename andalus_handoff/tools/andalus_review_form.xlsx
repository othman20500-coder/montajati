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دليل" sheetId="1" state="visible" r:id="rId3"/>
    <sheet name="المراجع" sheetId="2" state="visible" r:id="rId4"/>
    <sheet name="الشواهد"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<sst xmlns="http://schemas.openxmlformats.org/spreadsheetml/2006/main" count="551" uniqueCount="328">
  <si>
    <t xml:space="preserve">طريقة المراجعة</t>
  </si>
  <si>
    <t xml:space="preserve">1. املأ بيانات المراجع في ورقة «المراجع» ووقّع الإقرار.</t>
  </si>
  <si>
    <t xml:space="preserve">2. في ورقة «الشواهد» افتح الرابط (أو صورة الصفحة المذكورة في الموضع) وابحث عن النص في عمود «النص المقتبس».</t>
  </si>
  <si>
    <t xml:space="preserve">3. اختر الحكم من القائمة في عمود «الحكم» (الخلايا الصفراء):</t>
  </si>
  <si>
    <t xml:space="preserve">   مطابق: النص في المصدر بحروفه، في الموضع المذكور.</t>
  </si>
  <si>
    <t xml:space="preserve">   مطابق بفرق يسير: فرق في الترقيم أو رسم الهمزة أو الحذف المصرّح به، دون تغيير في المعنى. اكتب الفرق في الملاحظة.</t>
  </si>
  <si>
    <t xml:space="preserve">   غير مطابق: النص غير موجود، أو موجود بمعنى مختلف، أو في موضع آخر. اكتب النص الصحيح وموضعه في الملاحظة.</t>
  </si>
  <si>
    <t xml:space="preserve">4. أعد الملف إلى صاحب المشروع. يُعتمد الشاهد بحكم مراجعَين متخصصَين، ولا يُعتمد إن حكم أحدهما بعدم المطابقة.</t>
  </si>
  <si>
    <t xml:space="preserve">مثال على صف مكتمل (للتوضيح فقط):</t>
  </si>
  <si>
    <t xml:space="preserve">الحكم: مطابق بفرق يسير — الملاحظة: في الصفحة «in 1009–10» بدل «1009-1010»، والمعنى واحد.</t>
  </si>
  <si>
    <t xml:space="preserve">استمارة مراجعة شواهد الأطلس الأندلسي</t>
  </si>
  <si>
    <t xml:space="preserve">يملؤها مراجع متخصص. الخلايا الصفراء للإدخال. لا يُعتمد الحكم إلا باكتمال بيانات المراجع والإقرار.</t>
  </si>
  <si>
    <t xml:space="preserve">الاسم الكامل</t>
  </si>
  <si>
    <t xml:space="preserve">الدرجة العلمية</t>
  </si>
  <si>
    <t xml:space="preserve">التخصص الدقيق</t>
  </si>
  <si>
    <t xml:space="preserve">الجهة</t>
  </si>
  <si>
    <t xml:space="preserve">اللغات التي يقرأ بها المصادر</t>
  </si>
  <si>
    <t xml:space="preserve">تاريخ المراجعة</t>
  </si>
  <si>
    <t xml:space="preserve">الإقرار</t>
  </si>
  <si>
    <t xml:space="preserve">أقرّ بأني طابقت كل نص حكمت عليه بمصدره بنفسي، وأن أحكامي مبنية على هذه المطابقة.</t>
  </si>
  <si>
    <t xml:space="preserve">التوقيع</t>
  </si>
  <si>
    <t xml:space="preserve">ملخص الأحكام (يُحسب آليًا)</t>
  </si>
  <si>
    <t xml:space="preserve">مطابق</t>
  </si>
  <si>
    <t xml:space="preserve">مطابق بفرق يسير</t>
  </si>
  <si>
    <t xml:space="preserve">غير مطابق</t>
  </si>
  <si>
    <t xml:space="preserve">لم يُحكم عليه</t>
  </si>
  <si>
    <t xml:space="preserve">إجمالي الشواهد</t>
  </si>
  <si>
    <t xml:space="preserve">المعرف</t>
  </si>
  <si>
    <t xml:space="preserve">الإسناد</t>
  </si>
  <si>
    <t xml:space="preserve">ما يُثبته</t>
  </si>
  <si>
    <t xml:space="preserve">القيمة</t>
  </si>
  <si>
    <t xml:space="preserve">المصدر</t>
  </si>
  <si>
    <t xml:space="preserve">الموضع</t>
  </si>
  <si>
    <t xml:space="preserve">النص المقتبس (يُطابق بالمصدر)</t>
  </si>
  <si>
    <t xml:space="preserve">الرابط</t>
  </si>
  <si>
    <t xml:space="preserve">الحكم</t>
  </si>
  <si>
    <t xml:space="preserve">الملاحظة أو النص الصحيح</t>
  </si>
  <si>
    <t xml:space="preserve">طريقة القراءة السابقة</t>
  </si>
  <si>
    <t xml:space="preserve">ATT-002</t>
  </si>
  <si>
    <t xml:space="preserve">AST-001</t>
  </si>
  <si>
    <t xml:space="preserve">الإمارة الأموية — بداية العصر</t>
  </si>
  <si>
    <t xml:space="preserve">756</t>
  </si>
  <si>
    <t xml:space="preserve">Metropolitan Museum — Heilbrunn Timeline of Art History</t>
  </si>
  <si>
    <t xml:space="preserve">فقرة عبد الرحمن الأول</t>
  </si>
  <si>
    <t xml:space="preserve">'Abd al-Rahman I (r. 756–88) made Córdoba his capital</t>
  </si>
  <si>
    <t xml:space="preserve">https://www.metmuseum.org/essays/the-art-of-the-umayyad-period-in-spain-711-1031</t>
  </si>
  <si>
    <t xml:space="preserve">صفحة إنترنت</t>
  </si>
  <si>
    <t xml:space="preserve">ATT-004</t>
  </si>
  <si>
    <t xml:space="preserve">AST-002</t>
  </si>
  <si>
    <t xml:space="preserve">الإمارة الأموية — نهاية العصر</t>
  </si>
  <si>
    <t xml:space="preserve">929</t>
  </si>
  <si>
    <t xml:space="preserve">فقرة عبد الرحمن الثالث</t>
  </si>
  <si>
    <t xml:space="preserve">who became the first Spanish Umayyad amir to declare himself caliph (929)</t>
  </si>
  <si>
    <t xml:space="preserve">ATT-005</t>
  </si>
  <si>
    <t xml:space="preserve">AST-003</t>
  </si>
  <si>
    <t xml:space="preserve">الخلافة الأموية — بداية العصر</t>
  </si>
  <si>
    <t xml:space="preserve">UNESCO — Historic Centre of Cordoba</t>
  </si>
  <si>
    <t xml:space="preserve">Brief Synthesis</t>
  </si>
  <si>
    <t xml:space="preserve">In 929, Abderraman III established it as the headquarters of the independent Caliphate.</t>
  </si>
  <si>
    <t xml:space="preserve">https://whc.unesco.org/en/list/313</t>
  </si>
  <si>
    <t xml:space="preserve">ATT-006</t>
  </si>
  <si>
    <t xml:space="preserve">The Coinage of al-Andalus</t>
  </si>
  <si>
    <t xml:space="preserve">p. 74</t>
  </si>
  <si>
    <t xml:space="preserve">In the year 316/929 the eighth emir of al-Andalus, 'Abd al-Raḥmān III, was proclaimed caliph in Cordoba.</t>
  </si>
  <si>
    <t xml:space="preserve">https://shedet.journals.ekb.eg/article_87829_4b1aefcbf0be7e09c877183df0d16b06.pdf</t>
  </si>
  <si>
    <t xml:space="preserve">ATT-007</t>
  </si>
  <si>
    <t xml:space="preserve">AST-004</t>
  </si>
  <si>
    <t xml:space="preserve">الخلافة الأموية — نهاية العصر</t>
  </si>
  <si>
    <t xml:space="preserve">1009–1031</t>
  </si>
  <si>
    <t xml:space="preserve">Statement of Outstanding Universal Value</t>
  </si>
  <si>
    <t xml:space="preserve">The Historic Centre of Córdoba is the highly relevant testimony to the Caliphate of Cordoba (929-1031)</t>
  </si>
  <si>
    <t xml:space="preserve">ATT-010</t>
  </si>
  <si>
    <t xml:space="preserve">AST-005</t>
  </si>
  <si>
    <t xml:space="preserve">الفتنة — بداية العصر</t>
  </si>
  <si>
    <t xml:space="preserve">1009</t>
  </si>
  <si>
    <t xml:space="preserve">UNESCO — Caliphate City of Medina Azahara</t>
  </si>
  <si>
    <t xml:space="preserve">Description</t>
  </si>
  <si>
    <t xml:space="preserve">laid to waste during the civil war that put an end to the Caliphate in 1009-1010</t>
  </si>
  <si>
    <t xml:space="preserve">https://whc.unesco.org/en/list/1560</t>
  </si>
  <si>
    <t xml:space="preserve">ATT-012</t>
  </si>
  <si>
    <t xml:space="preserve">AST-006</t>
  </si>
  <si>
    <t xml:space="preserve">الفتنة — نهاية العصر</t>
  </si>
  <si>
    <t xml:space="preserve">1031</t>
  </si>
  <si>
    <t xml:space="preserve">the Caliphate of Cordoba (929-1031)</t>
  </si>
  <si>
    <t xml:space="preserve">ATT-013</t>
  </si>
  <si>
    <t xml:space="preserve">عنوان المقال</t>
  </si>
  <si>
    <t xml:space="preserve">The Art of the Umayyad Period in Spain (711–1031)</t>
  </si>
  <si>
    <t xml:space="preserve">ATT-014</t>
  </si>
  <si>
    <t xml:space="preserve">AST-007</t>
  </si>
  <si>
    <t xml:space="preserve">عبد الرحمن الداخل (أمير) — مدة الولاية</t>
  </si>
  <si>
    <t xml:space="preserve">756–788 (أمير)</t>
  </si>
  <si>
    <t xml:space="preserve">'Abd al-Rahman I (r. 756–88)</t>
  </si>
  <si>
    <t xml:space="preserve">ATT-017</t>
  </si>
  <si>
    <t xml:space="preserve">AST-008</t>
  </si>
  <si>
    <t xml:space="preserve">عبد الرحمن الثالث الناصر (أمير) — مدة الولاية</t>
  </si>
  <si>
    <t xml:space="preserve">912–929 (أمير)</t>
  </si>
  <si>
    <t xml:space="preserve">Discover Islamic Art (Museum With No Frontiers)</t>
  </si>
  <si>
    <t xml:space="preserve">Abd al-Rahman III (r. AH 299–350 / AD 912–61)</t>
  </si>
  <si>
    <t xml:space="preserve">https://islamicart.museumwnf.org/database_item.php?id=monument%3Bisl%3Bes%3Bmon01%3B2%3Ben</t>
  </si>
  <si>
    <t xml:space="preserve">ATT-018</t>
  </si>
  <si>
    <t xml:space="preserve">AST-009</t>
  </si>
  <si>
    <t xml:space="preserve">عبد الرحمن الثالث الناصر (خليفة) — مدة الولاية</t>
  </si>
  <si>
    <t xml:space="preserve">929–961 (خليفة)</t>
  </si>
  <si>
    <t xml:space="preserve">ATT-020</t>
  </si>
  <si>
    <t xml:space="preserve">ATT-021</t>
  </si>
  <si>
    <t xml:space="preserve">AST-010</t>
  </si>
  <si>
    <t xml:space="preserve">الحكم المستنصر بالله (خليفة) — مدة الولاية</t>
  </si>
  <si>
    <t xml:space="preserve">961–976 (خليفة)</t>
  </si>
  <si>
    <t xml:space="preserve">al-Hakam II (r. AH 350–66 / AD 961–76)</t>
  </si>
  <si>
    <t xml:space="preserve">ATT-023</t>
  </si>
  <si>
    <t xml:space="preserve">فقرة الحكم الثاني</t>
  </si>
  <si>
    <t xml:space="preserve">al-Hakam II (r. 961–76)</t>
  </si>
  <si>
    <t xml:space="preserve">ATT-026</t>
  </si>
  <si>
    <t xml:space="preserve">AST-012</t>
  </si>
  <si>
    <t xml:space="preserve">إعلان الخلافة — التاريخ</t>
  </si>
  <si>
    <t xml:space="preserve">929–929 / 316هـ</t>
  </si>
  <si>
    <t xml:space="preserve">ATT-030</t>
  </si>
  <si>
    <t xml:space="preserve">AST-015</t>
  </si>
  <si>
    <t xml:space="preserve">خراب مدينة الزهراء في الفتنة — الحدث</t>
  </si>
  <si>
    <t xml:space="preserve">خراب مدينة الزهراء في الفتنة: دخلها البربر أواخر ربيع الأول 401هـ (نوفمبر 1010م)، واستُؤصل خرابها في أيام المستكفي 414–416هـ (1024–1025م)</t>
  </si>
  <si>
    <t xml:space="preserve">The city lasted 74 years, after which it was systematically destroyed</t>
  </si>
  <si>
    <t xml:space="preserve">ATT-032</t>
  </si>
  <si>
    <t xml:space="preserve">AST-016</t>
  </si>
  <si>
    <t xml:space="preserve">عبد الرحمن الثالث الناصر — المولد والوفاة</t>
  </si>
  <si>
    <t xml:space="preserve">891–961</t>
  </si>
  <si>
    <t xml:space="preserve">Encyclopaedia Britannica (مرجعي عام)</t>
  </si>
  <si>
    <t xml:space="preserve">رأس المقالة</t>
  </si>
  <si>
    <t xml:space="preserve">born January 891 ... died October 15, 961</t>
  </si>
  <si>
    <t xml:space="preserve">https://www.britannica.com/biography/Abd-al-Rahman-III</t>
  </si>
  <si>
    <t xml:space="preserve">ATT-033</t>
  </si>
  <si>
    <t xml:space="preserve">AST-017</t>
  </si>
  <si>
    <t xml:space="preserve">عبد الرحمن الثالث الناصر — أجزاء الاسم</t>
  </si>
  <si>
    <t xml:space="preserve">عبد الرحمن | أبو المطرف | بن محمد بن عبد الله | الأموي | الناصر لدين الله</t>
  </si>
  <si>
    <t xml:space="preserve">ʿAbd al-Raḥmān ibn Muḥammad ibn ʿAbd Allāh ibn Muḥammad ibn ʿAbd al-Raḥmān ibn al-Ḥakam al-Rabḍī ibn Hishām ibn ʿAbd al-Raḥmān al-Dākhil</t>
  </si>
  <si>
    <t xml:space="preserve">ATT-041</t>
  </si>
  <si>
    <t xml:space="preserve">AST-022</t>
  </si>
  <si>
    <t xml:space="preserve">الزهراوي — المولد والوفاة</t>
  </si>
  <si>
    <t xml:space="preserve">توفي بعد 400هـ (1009م)؛ السنة المحددة غير معروفة (نحو 1013م عند Britannica، و427هـ/1036م عند الزركلي)</t>
  </si>
  <si>
    <t xml:space="preserve">Abū al-Qāsim al-Zahrāwī (born c. 936, near Córdoba [Spain]—died c. 1013)</t>
  </si>
  <si>
    <t xml:space="preserve">https://www.britannica.com/biography/Abu-al-Qasim</t>
  </si>
  <si>
    <t xml:space="preserve">ATT-042</t>
  </si>
  <si>
    <t xml:space="preserve">AST-023</t>
  </si>
  <si>
    <t xml:space="preserve">الزهراوي — أجزاء الاسم</t>
  </si>
  <si>
    <t xml:space="preserve">خلف | أبو القاسم | بن عباس | الزهراوي | </t>
  </si>
  <si>
    <t xml:space="preserve">متن المقالة</t>
  </si>
  <si>
    <t xml:space="preserve">Abū al-Qāsim Khalaf ibn ʿAbbās al-Zahrāwī</t>
  </si>
  <si>
    <t xml:space="preserve">ATT-043</t>
  </si>
  <si>
    <t xml:space="preserve">AST-024</t>
  </si>
  <si>
    <t xml:space="preserve">قرطبة — الهوية</t>
  </si>
  <si>
    <t xml:space="preserve">قرطبة = Córdoba؛ عاصمة الإمارة والخلافة</t>
  </si>
  <si>
    <t xml:space="preserve">It became the capital of the emirate depending on Damascus in the 8th century.</t>
  </si>
  <si>
    <t xml:space="preserve">ATT-044</t>
  </si>
  <si>
    <t xml:space="preserve">'Abd al-Rahman I made Córdoba his capital and unified al-Andalus</t>
  </si>
  <si>
    <t xml:space="preserve">ATT-048</t>
  </si>
  <si>
    <t xml:space="preserve">AST-025</t>
  </si>
  <si>
    <t xml:space="preserve">مدينة الزهراء — الهوية والموضع</t>
  </si>
  <si>
    <t xml:space="preserve">مدينة الزهراء = Medina Azahara؛ موقع أثري غرب قرطبة (37.8859, -4.8677 بحسب UNESCO)</t>
  </si>
  <si>
    <t xml:space="preserve">Address</t>
  </si>
  <si>
    <t xml:space="preserve">Ctra. de Palma del Río, km 8, Córdoba, Spain</t>
  </si>
  <si>
    <t xml:space="preserve">ATT-049</t>
  </si>
  <si>
    <t xml:space="preserve">AST-026</t>
  </si>
  <si>
    <t xml:space="preserve">درهم 316هـ</t>
  </si>
  <si>
    <t xml:space="preserve">درهم عبد الرحمن الثالث 316هـ فضة (MAN)</t>
  </si>
  <si>
    <t xml:space="preserve">In the same year, the new caliph reopened the Cordoba mint, which coined gold coins (dinars)</t>
  </si>
  <si>
    <t xml:space="preserve">ATT-052</t>
  </si>
  <si>
    <t xml:space="preserve">AST-027</t>
  </si>
  <si>
    <t xml:space="preserve">ادعاء إعلان الخلافة</t>
  </si>
  <si>
    <t xml:space="preserve">إعلان عبد الرحمن الثالث الخلافة سنة 316هـ/929م</t>
  </si>
  <si>
    <t xml:space="preserve">ATT-054</t>
  </si>
  <si>
    <t xml:space="preserve">ATT-056</t>
  </si>
  <si>
    <t xml:space="preserve">AST-013</t>
  </si>
  <si>
    <t xml:space="preserve">بدء بناء مدينة الزهراء — التاريخ</t>
  </si>
  <si>
    <t xml:space="preserve">936 / محرم 325هـ (بدء البناء)</t>
  </si>
  <si>
    <t xml:space="preserve">built in the mid-10th century CE by the Umayyad dynasty as the seat of the Caliphate of Cordoba</t>
  </si>
  <si>
    <t xml:space="preserve">ATT-214</t>
  </si>
  <si>
    <t xml:space="preserve">AST-G17</t>
  </si>
  <si>
    <t xml:space="preserve">ابن زمرك — المولد والوفاة</t>
  </si>
  <si>
    <t xml:space="preserve">1333 (14 شوال 733هـ) – بعد 795هـ (أواخر 1393م أو بعدها)</t>
  </si>
  <si>
    <t xml:space="preserve">Patronato de la Alhambra y Generalife</t>
  </si>
  <si>
    <t xml:space="preserve">صفحة «Ibn Zamrak, un poeta en la Alhambra»</t>
  </si>
  <si>
    <t xml:space="preserve">Ibn Zamrak (1333-1394)</t>
  </si>
  <si>
    <t xml:space="preserve">https://www.alhambra-patronato.es/ibn-zamrak-un-poeta-en-la-alhambra</t>
  </si>
  <si>
    <t xml:space="preserve">ATT-262</t>
  </si>
  <si>
    <t xml:space="preserve">AST-G06</t>
  </si>
  <si>
    <t xml:space="preserve">محمد الخامس الغني بالله (سلطان) — مدة الولاية</t>
  </si>
  <si>
    <t xml:space="preserve">1354–1359</t>
  </si>
  <si>
    <t xml:space="preserve">لسان الدين ابن الخطيب (ت 776هـ)، تاريخ إسبانية الإسلامية أو كتاب أعمال الأعلام، تحقيق إ. ليفي بروفنسال، ط2، بيروت: دار المكشوف، آذار 1956</t>
  </si>
  <si>
    <t xml:space="preserve">ص306، دولة محمد بن يوسف بن إسماعيل (الأولى)</t>
  </si>
  <si>
    <t xml:space="preserve">وتمشّت أيامه على أتمّ ما يكون من الأمان، وخصب الزمان، إلى الثامن والعشرين من شهر الصوم سنة ٧٦٠. وكان التغلّب على دولته الأولى، واستولى على الأمر أخوه إسماعيل</t>
  </si>
  <si>
    <t xml:space="preserve">https://archive.org/details/ar106biog55</t>
  </si>
  <si>
    <t xml:space="preserve">صورة صفحة</t>
  </si>
  <si>
    <t xml:space="preserve">ATT-263</t>
  </si>
  <si>
    <t xml:space="preserve">AST-G28</t>
  </si>
  <si>
    <t xml:space="preserve">مقتل لسان الدين ابن الخطيب في فاس — التاريخ</t>
  </si>
  <si>
    <t xml:space="preserve">776هـ (بين مستهلّها وشوالها؛ منتصف 1374م إلى أوائل 1375م)</t>
  </si>
  <si>
    <t xml:space="preserve">المقدمة ص ز</t>
  </si>
  <si>
    <t xml:space="preserve">ولكن لم تطل المدة حتى خلع أبو زيّان وولي مكانه أبو العباس المستنصر ( ٧٧٦ ه – ١٣٧٤ م ) فاشتدّ خوف المهاجر المسكين ، وحق له الخوف إذ انتهى به الأمر إلى أن سجن بفاس ، ثم خنقته بسجنه ، في بعض الليالي ،</t>
  </si>
  <si>
    <t xml:space="preserve">ATT-268</t>
  </si>
  <si>
    <t xml:space="preserve">ص117، «أيام هشام بن الحكم ... في المرة الثانية»</t>
  </si>
  <si>
    <t xml:space="preserve">وفي أخريات ربيع الأول من هذه السنة ، نزلوا قرطبة ، ودخلوا مدينة الزّهراء . وانضمّ الخلق من الأحواز إلى المدينة ، وانتشرت الغارات</t>
  </si>
  <si>
    <t xml:space="preserve">ATT-269</t>
  </si>
  <si>
    <t xml:space="preserve">AST-G27</t>
  </si>
  <si>
    <t xml:space="preserve">التنصير القسري لمسلمي قشتالة — التاريخ</t>
  </si>
  <si>
    <t xml:space="preserve">12 فبراير 1502 (نحو 4 شعبان 907هـ)</t>
  </si>
  <si>
    <t xml:space="preserve">Pablo Ortego Rico، «Cristianos y mudéjares ante la conversión de 1502. Mercedes a moros. Mercedes de bienes de moros»، Espacio, Tiempo y Forma, Serie III, Historia Medieval، ع24 (2011)، ص279–318</t>
  </si>
  <si>
    <t xml:space="preserve">ص279</t>
  </si>
  <si>
    <t xml:space="preserve">el 12 de febrero de 1502 Isabel y Fernando promulgaban una pragmática que ponía fin, tras más de cuatro siglos, a la presencia de mudéjares en Castilla</t>
  </si>
  <si>
    <t xml:space="preserve">https://revistas.uned.es/index.php/ETFIII/article/download/1672/1553/4521</t>
  </si>
  <si>
    <t xml:space="preserve">ATT-270</t>
  </si>
  <si>
    <t xml:space="preserve">ص283</t>
  </si>
  <si>
    <t xml:space="preserve">Finalmente, el 12 de febrero de 1502, la promulgación de la pragmática referida pondría fin a la realidad mudéjar al establecer la conversión obligatoria de todos los moros varones mayores de catorce años y mujeres mayores de doce</t>
  </si>
  <si>
    <t xml:space="preserve">ATT-271</t>
  </si>
  <si>
    <t xml:space="preserve">Miguel Ángel Ladero Quesada، Andalucía a fines de la Edad Media: estructuras, valores, sucesos، قادس: Servicio de Publicaciones de la Universidad de Cádiz، 1999، 364 ص، ISBN 84-7786-645-7</t>
  </si>
  <si>
    <t xml:space="preserve">ص179 (فصل «Grupos sociales rurales y urbanos»)</t>
  </si>
  <si>
    <t xml:space="preserve">La pragmática real de 12 de febrero de 1502 instaba, como la relativa a los judíos de 31 de marzo de 1492, a optar entre el bautismo y la emigración</t>
  </si>
  <si>
    <t xml:space="preserve">لا رابط: يُراجع بصورة الصفحة</t>
  </si>
  <si>
    <t xml:space="preserve">نص OCR</t>
  </si>
  <si>
    <t xml:space="preserve">ATT-272</t>
  </si>
  <si>
    <t xml:space="preserve">بين ص317 وص320 (أرقام الصفحات 318–319 ساقطة من نص OCR)</t>
  </si>
  <si>
    <t xml:space="preserve">hasta que, a comienzos de 1502, una pragmática real ordenó -como para los judíos en 1492- la alternativa entre bautismo o expulsión</t>
  </si>
  <si>
    <t xml:space="preserve">ATT-GA04</t>
  </si>
  <si>
    <t xml:space="preserve">AST-G01</t>
  </si>
  <si>
    <t xml:space="preserve">غرناطة النصرية — بداية العصر</t>
  </si>
  <si>
    <t xml:space="preserve">1232–1238 (إعلان ابن الأحمر 1232 / دخول غرناطة 1238)</t>
  </si>
  <si>
    <t xml:space="preserve">صفحة «Historia»</t>
  </si>
  <si>
    <t xml:space="preserve">Al-Ahmar, fundador de la Dinastía nazarí, se instala en 1238 en la Antigua Alcazaba del Albaicín</t>
  </si>
  <si>
    <t xml:space="preserve">https://www.alhambra-patronato.es/descubrir/historia</t>
  </si>
  <si>
    <t xml:space="preserve">ATT-GA07</t>
  </si>
  <si>
    <t xml:space="preserve">AST-G02</t>
  </si>
  <si>
    <t xml:space="preserve">غرناطة النصرية — نهاية العصر</t>
  </si>
  <si>
    <t xml:space="preserve">1492 (تسليم غرناطة 2 يناير 1492)</t>
  </si>
  <si>
    <t xml:space="preserve">المقالة</t>
  </si>
  <si>
    <t xml:space="preserve">After a siege that began in 1491, he too surrendered, on January 2, 1492</t>
  </si>
  <si>
    <t xml:space="preserve">https://www.britannica.com/biography/Muhammad-XI</t>
  </si>
  <si>
    <t xml:space="preserve">ATT-GA09</t>
  </si>
  <si>
    <t xml:space="preserve">AST-G03</t>
  </si>
  <si>
    <t xml:space="preserve">محمد الأول ابن الأحمر (سلطان) — مدة الولاية</t>
  </si>
  <si>
    <t xml:space="preserve">1232–1273</t>
  </si>
  <si>
    <t xml:space="preserve">The first Naṣrid ruler, Muḥammad I al-Ghālib (d. 1273)</t>
  </si>
  <si>
    <t xml:space="preserve">https://www.britannica.com/topic/Nasrid-dynasty</t>
  </si>
  <si>
    <t xml:space="preserve">ATT-GA13</t>
  </si>
  <si>
    <t xml:space="preserve">AST-G05</t>
  </si>
  <si>
    <t xml:space="preserve">يوسف الأول (سلطان) — مدة الولاية</t>
  </si>
  <si>
    <t xml:space="preserve">1333–1354</t>
  </si>
  <si>
    <t xml:space="preserve">coincidiendo con los sultanatos de Yusuf I (1333-1354) y el segundo reinado de Muhammad V (1362-1391).</t>
  </si>
  <si>
    <t xml:space="preserve">ATT-GA18</t>
  </si>
  <si>
    <t xml:space="preserve">AST-G07</t>
  </si>
  <si>
    <t xml:space="preserve">1362–1391</t>
  </si>
  <si>
    <t xml:space="preserve">ATT-GA21</t>
  </si>
  <si>
    <t xml:space="preserve">AST-G08</t>
  </si>
  <si>
    <t xml:space="preserve">أبو الحسن علي (سلطان) — مدة الولاية</t>
  </si>
  <si>
    <t xml:space="preserve">868هـ (1463/1464) – 1482</t>
  </si>
  <si>
    <t xml:space="preserve">Abū al-Ḥasan ʿAlī (1466–85)</t>
  </si>
  <si>
    <t xml:space="preserve">ATT-GA30</t>
  </si>
  <si>
    <t xml:space="preserve">AST-G12</t>
  </si>
  <si>
    <t xml:space="preserve">محمد الثاني عشر أبو عبد الله (سلطان) — مدة الولاية</t>
  </si>
  <si>
    <t xml:space="preserve">1487–1492</t>
  </si>
  <si>
    <t xml:space="preserve">His reign (1482–92) was marked by incessant civil strife and the fall of Granada to Ferdinand and Isabella.</t>
  </si>
  <si>
    <t xml:space="preserve">ATT-GA32</t>
  </si>
  <si>
    <t xml:space="preserve">AST-G13</t>
  </si>
  <si>
    <t xml:space="preserve">محمد الأول ابن الأحمر — أجزاء الاسم</t>
  </si>
  <si>
    <t xml:space="preserve">محمد بن يوسف بن نصر؛ أبو عبد الله؛ الغالب بالله؛ ابن الأحمر</t>
  </si>
  <si>
    <t xml:space="preserve">ATT-GA39</t>
  </si>
  <si>
    <t xml:space="preserve">AST-G18</t>
  </si>
  <si>
    <t xml:space="preserve">محمد الثاني عشر أبو عبد الله — أجزاء الاسم</t>
  </si>
  <si>
    <t xml:space="preserve">أبو عبد الله محمد بن علي (Boabdil)</t>
  </si>
  <si>
    <t xml:space="preserve">Muḥammad XII (died 1527) was the last Naṣrid sultan of Granada, Spain.</t>
  </si>
  <si>
    <t xml:space="preserve">ATT-GB02</t>
  </si>
  <si>
    <t xml:space="preserve">AST-G19</t>
  </si>
  <si>
    <t xml:space="preserve">دخول محمد الأول غرناطة — التاريخ</t>
  </si>
  <si>
    <t xml:space="preserve">1238 / 635هـ</t>
  </si>
  <si>
    <t xml:space="preserve">صفحة Historia</t>
  </si>
  <si>
    <t xml:space="preserve">https://www.alhambra-patronato.es/descubrir/alhambra-y-generalife/historia</t>
  </si>
  <si>
    <t xml:space="preserve">ATT-GB06</t>
  </si>
  <si>
    <t xml:space="preserve">AST-G22</t>
  </si>
  <si>
    <t xml:space="preserve">بناء قصر الأسود في الحمراء — التاريخ</t>
  </si>
  <si>
    <t xml:space="preserve">1362–1391 (محمد الخامس)</t>
  </si>
  <si>
    <t xml:space="preserve">alcanza su esplendor en la segunda mitad del siglo XIV, coincidiendo con los sultanatos de Yusuf I (1333-1354) y el segundo reinado de Muhammad V (1362-1391)</t>
  </si>
  <si>
    <t xml:space="preserve">ATT-GB13</t>
  </si>
  <si>
    <t xml:space="preserve">مادة Morisco</t>
  </si>
  <si>
    <t xml:space="preserve">In 1502, offered the choice of baptism or exile, many of them were baptized</t>
  </si>
  <si>
    <t xml:space="preserve">https://www.britannica.com/topic/Morisco</t>
  </si>
  <si>
    <t xml:space="preserve">ATT-GB16</t>
  </si>
  <si>
    <t xml:space="preserve">AST-G29</t>
  </si>
  <si>
    <t xml:space="preserve">الحمراء — الهوية والموضع</t>
  </si>
  <si>
    <t xml:space="preserve">الحمراء: مدينة قصور نصرية على تل السبيكة؛ ضمن موقع UNESCO 314</t>
  </si>
  <si>
    <t xml:space="preserve">UNESCO — Alhambra, Generalife and Albayzín</t>
  </si>
  <si>
    <t xml:space="preserve">Brief synthesis</t>
  </si>
  <si>
    <t xml:space="preserve">Rising above the modern lower town, the Alhambra and the Albaycín, situated on two adjacent hills, form the medieval part of Granada.</t>
  </si>
  <si>
    <t xml:space="preserve">https://whc.unesco.org/en/list/314</t>
  </si>
  <si>
    <t xml:space="preserve">ATT-GB17</t>
  </si>
  <si>
    <t xml:space="preserve">The Alhambra, with its continuous occupation over time, is currently the only preserved palatine city of the Islamic period.</t>
  </si>
  <si>
    <t xml:space="preserve">ATT-GB18</t>
  </si>
  <si>
    <t xml:space="preserve">En el siglo IX existen noticias de construcciones en la colina de la Sabika, donde posteriormente se levantará la Alhambra</t>
  </si>
  <si>
    <t xml:space="preserve">ATT-GB19</t>
  </si>
  <si>
    <t xml:space="preserve">AST-G30</t>
  </si>
  <si>
    <t xml:space="preserve">جنة العريف — الهوية</t>
  </si>
  <si>
    <t xml:space="preserve">جنة العريف: قصر ريفي/بساتين نصرية بجوار الحمراء</t>
  </si>
  <si>
    <t xml:space="preserve">To the east of the Alhambra fortress and residence are the gardens of the Generalife, an example of a rural residence of the emirs, built during the 13th and 14th centuries.</t>
  </si>
  <si>
    <t xml:space="preserve">ATT-GB20</t>
  </si>
  <si>
    <t xml:space="preserve">صفحة Palacio del Generalife</t>
  </si>
  <si>
    <t xml:space="preserve">La Almunia del Generalife era una hacienda ideal para la explotación agrícola y el descanso, con un núcleo de edificación residencial y una vasta extensión de terreno de cultivo y pasto.</t>
  </si>
  <si>
    <t xml:space="preserve">https://www.alhambra-patronato.es/edificios-lugares/palacio-del-generalife</t>
  </si>
  <si>
    <t xml:space="preserve">ATT-GB21</t>
  </si>
  <si>
    <t xml:space="preserve">AST-G31</t>
  </si>
  <si>
    <t xml:space="preserve">أشعار ابن زمرك على جدران الحمراء</t>
  </si>
  <si>
    <t xml:space="preserve">أشعار ابن زمرك منقوشة على جدران الحمراء</t>
  </si>
  <si>
    <t xml:space="preserve">مقال Ibn Zamrak, un poeta en la Alhambra</t>
  </si>
  <si>
    <t xml:space="preserve">Su labor poética se plasmó en los lugares más emblemáticos de la ciudad palatina como puede apreciarse, entre otros, en la torre de la Cautiva, puerta de Comares, fuente del jardín de Daraxa, la sala de Dos Hermanas, o la taza de la fuente del patio de los Leones</t>
  </si>
  <si>
    <t xml:space="preserve">ATT-GB22</t>
  </si>
  <si>
    <t xml:space="preserve">مقال La yesería de Arrayanes con versos de Ibn Zamrak</t>
  </si>
  <si>
    <t xml:space="preserve">En estas cartelas se encuentran un poema de Ibn Zamrak (1333-1393).</t>
  </si>
  <si>
    <t xml:space="preserve">https://www.alhambra-patronato.es/yeseria-arrayanes</t>
  </si>
  <si>
    <t xml:space="preserve">ATT-GB23</t>
  </si>
  <si>
    <t xml:space="preserve">AST-G32</t>
  </si>
  <si>
    <t xml:space="preserve">نسبة قصر قمارش</t>
  </si>
  <si>
    <t xml:space="preserve">قصر قمارش ينسب إلى يوسف الأول (مع إتمام محمد الخامس)</t>
  </si>
  <si>
    <t xml:space="preserve">Pieza del mes: Canecillo del alero del patio de Comares</t>
  </si>
  <si>
    <t xml:space="preserve">El palacio de Comares, obra clave de la construcción del sultán Yusuf I, alberga el emblemático salón que le da nombre</t>
  </si>
  <si>
    <t xml:space="preserve">https://www.alhambra-patronato.es/elemento-del-mes/canecillo-del-alero-del-patio-de-comares</t>
  </si>
  <si>
    <t xml:space="preserve">ATT-GB24</t>
  </si>
  <si>
    <t xml:space="preserve">Pieza del mes: Torre de Comares</t>
  </si>
  <si>
    <t xml:space="preserve">Construida por Yūsuf I sobre otra menor, de Ismāʿīl I, su etimología procede del árabe arsh: «trono», como también es conocido su salón interior.</t>
  </si>
  <si>
    <t xml:space="preserve">https://www.alhambra-patronato.es/elemento-del-mes/torre-de-comares</t>
  </si>
  <si>
    <t xml:space="preserve">ATT-GB25</t>
  </si>
  <si>
    <t xml:space="preserve">صفحة Fachada de Comares</t>
  </si>
  <si>
    <t xml:space="preserve">Fue mandada construir por Muhammad V en 1370 con motivo de la conquista de Algeciras.</t>
  </si>
  <si>
    <t xml:space="preserve">https://www.alhambra-patronato.es/edificios-lugares/fachada-de-comares</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</si>
</sst>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1"/>
      <name val="Arial"/>
      <family val="0"/>
      <charset val="1"/>
    </font>
    <font>
      <sz val="10"/>
      <name val="Arial"/>
      <family val="0"/>
      <charset val="1"/>
    </font>
    <font>
      <b val="true"/>
      <sz val="10"/>
      <name val="Arial"/>
      <family val="0"/>
      <charset val="1"/>
    </font>
    <font>
      <b val="true"/>
      <sz val="14"/>
      <name val="Arial"/>
      <family val="0"/>
      <charset val="1"/>
    </font>
    <font>
      <i val="true"/>
      <sz val="10"/>
      <name val="Arial"/>
      <family val="0"/>
      <charset val="1"/>
    </font>
    <font>
      <b val="true"/>
      <sz val="11"/>
      <color rgb="FFFFFFFF"/>
      <name val="Arial"/>
      <family val="0"/>
      <charset val="1"/>
    </font>
    <font>
      <u val="single"/>
      <sz val="10"/>
      <color rgb="FF1F6B5C"/>
      <name val="Arial"/>
      <family val="0"/>
      <charset val="1"/>
    </font>
  </fonts>
  <fills count="4">
    <fill>
      <patternFill patternType="none"/>
    </fill>
    <fill>
      <patternFill patternType="gray125"/>
    </fill>
    <fill>
      <patternFill patternType="solid">
        <fgColor rgb="FFFFF6CC"/>
        <bgColor rgb="FFFFFFFF"/>
      </patternFill>
    </fill>
    <fill>
      <patternFill patternType="solid">
        <fgColor rgb="FF1F6B5C"/>
        <bgColor rgb="FF008080"/>
      </patternFill>
    </fill>
  </fills>
  <borders count="2">
    <border diagonalUp="false" diagonalDown="false">
      <left/>
      <right/>
      <top/>
      <bottom/>
      <diagonal/>
    </border>
    <border diagonalUp="false" diagonalDown="false">
      <left style="thin">
        <color rgb="FFC9D3CE"/>
      </left>
      <right style="thin">
        <color rgb="FFC9D3CE"/>
      </right>
      <top style="thin">
        <color rgb="FFC9D3CE"/>
      </top>
      <bottom style="thin">
        <color rgb="FFC9D3C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6B5C"/>
      <rgbColor rgb="FFC9D3CE"/>
      <rgbColor rgb="FF808080"/>
      <rgbColor rgb="FF9999FF"/>
      <rgbColor rgb="FF993366"/>
      <rgbColor rgb="FFFFF6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www.metmuseum.org/essays/the-art-of-the-umayyad-period-in-spain-711-1031" TargetMode="External"/><Relationship Id="rId2" Type="http://schemas.openxmlformats.org/officeDocument/2006/relationships/hyperlink" Target="https://www.metmuseum.org/essays/the-art-of-the-umayyad-period-in-spain-711-1031" TargetMode="External"/><Relationship Id="rId3" Type="http://schemas.openxmlformats.org/officeDocument/2006/relationships/hyperlink" Target="https://whc.unesco.org/en/list/313" TargetMode="External"/><Relationship Id="rId4" Type="http://schemas.openxmlformats.org/officeDocument/2006/relationships/hyperlink" Target="https://shedet.journals.ekb.eg/article_87829_4b1aefcbf0be7e09c877183df0d16b06.pdf" TargetMode="External"/><Relationship Id="rId5" Type="http://schemas.openxmlformats.org/officeDocument/2006/relationships/hyperlink" Target="https://whc.unesco.org/en/list/313" TargetMode="External"/><Relationship Id="rId6" Type="http://schemas.openxmlformats.org/officeDocument/2006/relationships/hyperlink" Target="https://whc.unesco.org/en/list/1560" TargetMode="External"/><Relationship Id="rId7" Type="http://schemas.openxmlformats.org/officeDocument/2006/relationships/hyperlink" Target="https://whc.unesco.org/en/list/313" TargetMode="External"/><Relationship Id="rId8" Type="http://schemas.openxmlformats.org/officeDocument/2006/relationships/hyperlink" Target="https://www.metmuseum.org/essays/the-art-of-the-umayyad-period-in-spain-711-1031" TargetMode="External"/><Relationship Id="rId9" Type="http://schemas.openxmlformats.org/officeDocument/2006/relationships/hyperlink" Target="https://www.metmuseum.org/essays/the-art-of-the-umayyad-period-in-spain-711-1031" TargetMode="External"/><Relationship Id="rId10" Type="http://schemas.openxmlformats.org/officeDocument/2006/relationships/hyperlink" Target="https://islamicart.museumwnf.org/database_item.php?id=monument%3Bisl%3Bes%3Bmon01%3B2%3Ben" TargetMode="External"/><Relationship Id="rId11" Type="http://schemas.openxmlformats.org/officeDocument/2006/relationships/hyperlink" Target="https://islamicart.museumwnf.org/database_item.php?id=monument%3Bisl%3Bes%3Bmon01%3B2%3Ben" TargetMode="External"/><Relationship Id="rId12" Type="http://schemas.openxmlformats.org/officeDocument/2006/relationships/hyperlink" Target="https://whc.unesco.org/en/list/313" TargetMode="External"/><Relationship Id="rId13" Type="http://schemas.openxmlformats.org/officeDocument/2006/relationships/hyperlink" Target="https://islamicart.museumwnf.org/database_item.php?id=monument%3Bisl%3Bes%3Bmon01%3B2%3Ben" TargetMode="External"/><Relationship Id="rId14" Type="http://schemas.openxmlformats.org/officeDocument/2006/relationships/hyperlink" Target="https://www.metmuseum.org/essays/the-art-of-the-umayyad-period-in-spain-711-1031" TargetMode="External"/><Relationship Id="rId15" Type="http://schemas.openxmlformats.org/officeDocument/2006/relationships/hyperlink" Target="https://shedet.journals.ekb.eg/article_87829_4b1aefcbf0be7e09c877183df0d16b06.pdf" TargetMode="External"/><Relationship Id="rId16" Type="http://schemas.openxmlformats.org/officeDocument/2006/relationships/hyperlink" Target="https://islamicart.museumwnf.org/database_item.php?id=monument%3Bisl%3Bes%3Bmon01%3B2%3Ben" TargetMode="External"/><Relationship Id="rId17" Type="http://schemas.openxmlformats.org/officeDocument/2006/relationships/hyperlink" Target="https://www.britannica.com/biography/Abd-al-Rahman-III" TargetMode="External"/><Relationship Id="rId18" Type="http://schemas.openxmlformats.org/officeDocument/2006/relationships/hyperlink" Target="https://www.britannica.com/biography/Abd-al-Rahman-III" TargetMode="External"/><Relationship Id="rId19" Type="http://schemas.openxmlformats.org/officeDocument/2006/relationships/hyperlink" Target="https://www.britannica.com/biography/Abu-al-Qasim" TargetMode="External"/><Relationship Id="rId20" Type="http://schemas.openxmlformats.org/officeDocument/2006/relationships/hyperlink" Target="https://www.britannica.com/biography/Abu-al-Qasim" TargetMode="External"/><Relationship Id="rId21" Type="http://schemas.openxmlformats.org/officeDocument/2006/relationships/hyperlink" Target="https://whc.unesco.org/en/list/313" TargetMode="External"/><Relationship Id="rId22" Type="http://schemas.openxmlformats.org/officeDocument/2006/relationships/hyperlink" Target="https://www.metmuseum.org/essays/the-art-of-the-umayyad-period-in-spain-711-1031" TargetMode="External"/><Relationship Id="rId23" Type="http://schemas.openxmlformats.org/officeDocument/2006/relationships/hyperlink" Target="https://islamicart.museumwnf.org/database_item.php?id=monument%3Bisl%3Bes%3Bmon01%3B2%3Ben" TargetMode="External"/><Relationship Id="rId24" Type="http://schemas.openxmlformats.org/officeDocument/2006/relationships/hyperlink" Target="https://shedet.journals.ekb.eg/article_87829_4b1aefcbf0be7e09c877183df0d16b06.pdf" TargetMode="External"/><Relationship Id="rId25" Type="http://schemas.openxmlformats.org/officeDocument/2006/relationships/hyperlink" Target="https://shedet.journals.ekb.eg/article_87829_4b1aefcbf0be7e09c877183df0d16b06.pdf" TargetMode="External"/><Relationship Id="rId26" Type="http://schemas.openxmlformats.org/officeDocument/2006/relationships/hyperlink" Target="https://www.metmuseum.org/essays/the-art-of-the-umayyad-period-in-spain-711-1031" TargetMode="External"/><Relationship Id="rId27" Type="http://schemas.openxmlformats.org/officeDocument/2006/relationships/hyperlink" Target="https://whc.unesco.org/en/list/1560" TargetMode="External"/><Relationship Id="rId28" Type="http://schemas.openxmlformats.org/officeDocument/2006/relationships/hyperlink" Target="https://www.alhambra-patronato.es/ibn-zamrak-un-poeta-en-la-alhambra" TargetMode="External"/><Relationship Id="rId29" Type="http://schemas.openxmlformats.org/officeDocument/2006/relationships/hyperlink" Target="https://archive.org/details/ar106biog55" TargetMode="External"/><Relationship Id="rId30" Type="http://schemas.openxmlformats.org/officeDocument/2006/relationships/hyperlink" Target="https://archive.org/details/ar106biog55" TargetMode="External"/><Relationship Id="rId31" Type="http://schemas.openxmlformats.org/officeDocument/2006/relationships/hyperlink" Target="https://archive.org/details/ar106biog55" TargetMode="External"/><Relationship Id="rId32" Type="http://schemas.openxmlformats.org/officeDocument/2006/relationships/hyperlink" Target="https://revistas.uned.es/index.php/ETFIII/article/download/1672/1553/4521" TargetMode="External"/><Relationship Id="rId33" Type="http://schemas.openxmlformats.org/officeDocument/2006/relationships/hyperlink" Target="https://revistas.uned.es/index.php/ETFIII/article/download/1672/1553/4521" TargetMode="External"/><Relationship Id="rId34" Type="http://schemas.openxmlformats.org/officeDocument/2006/relationships/hyperlink" Target="https://www.alhambra-patronato.es/descubrir/historia" TargetMode="External"/><Relationship Id="rId35" Type="http://schemas.openxmlformats.org/officeDocument/2006/relationships/hyperlink" Target="https://www.britannica.com/biography/Muhammad-XI" TargetMode="External"/><Relationship Id="rId36" Type="http://schemas.openxmlformats.org/officeDocument/2006/relationships/hyperlink" Target="https://www.britannica.com/topic/Nasrid-dynasty" TargetMode="External"/><Relationship Id="rId37" Type="http://schemas.openxmlformats.org/officeDocument/2006/relationships/hyperlink" Target="https://www.alhambra-patronato.es/descubrir/historia" TargetMode="External"/><Relationship Id="rId38" Type="http://schemas.openxmlformats.org/officeDocument/2006/relationships/hyperlink" Target="https://www.alhambra-patronato.es/descubrir/historia" TargetMode="External"/><Relationship Id="rId39" Type="http://schemas.openxmlformats.org/officeDocument/2006/relationships/hyperlink" Target="https://www.britannica.com/topic/Nasrid-dynasty" TargetMode="External"/><Relationship Id="rId40" Type="http://schemas.openxmlformats.org/officeDocument/2006/relationships/hyperlink" Target="https://www.britannica.com/biography/Muhammad-XI" TargetMode="External"/><Relationship Id="rId41" Type="http://schemas.openxmlformats.org/officeDocument/2006/relationships/hyperlink" Target="https://www.britannica.com/topic/Nasrid-dynasty" TargetMode="External"/><Relationship Id="rId42" Type="http://schemas.openxmlformats.org/officeDocument/2006/relationships/hyperlink" Target="https://www.britannica.com/biography/Muhammad-XI" TargetMode="External"/><Relationship Id="rId43" Type="http://schemas.openxmlformats.org/officeDocument/2006/relationships/hyperlink" Target="https://www.alhambra-patronato.es/descubrir/alhambra-y-generalife/historia" TargetMode="External"/><Relationship Id="rId44" Type="http://schemas.openxmlformats.org/officeDocument/2006/relationships/hyperlink" Target="https://www.alhambra-patronato.es/descubrir/alhambra-y-generalife/historia" TargetMode="External"/><Relationship Id="rId45" Type="http://schemas.openxmlformats.org/officeDocument/2006/relationships/hyperlink" Target="https://www.britannica.com/topic/Morisco" TargetMode="External"/><Relationship Id="rId46" Type="http://schemas.openxmlformats.org/officeDocument/2006/relationships/hyperlink" Target="https://whc.unesco.org/en/list/314" TargetMode="External"/><Relationship Id="rId47" Type="http://schemas.openxmlformats.org/officeDocument/2006/relationships/hyperlink" Target="https://whc.unesco.org/en/list/314" TargetMode="External"/><Relationship Id="rId48" Type="http://schemas.openxmlformats.org/officeDocument/2006/relationships/hyperlink" Target="https://www.alhambra-patronato.es/descubrir/alhambra-y-generalife/historia" TargetMode="External"/><Relationship Id="rId49" Type="http://schemas.openxmlformats.org/officeDocument/2006/relationships/hyperlink" Target="https://whc.unesco.org/en/list/314" TargetMode="External"/><Relationship Id="rId50" Type="http://schemas.openxmlformats.org/officeDocument/2006/relationships/hyperlink" Target="https://www.alhambra-patronato.es/edificios-lugares/palacio-del-generalife" TargetMode="External"/><Relationship Id="rId51" Type="http://schemas.openxmlformats.org/officeDocument/2006/relationships/hyperlink" Target="https://www.alhambra-patronato.es/ibn-zamrak-un-poeta-en-la-alhambra" TargetMode="External"/><Relationship Id="rId52" Type="http://schemas.openxmlformats.org/officeDocument/2006/relationships/hyperlink" Target="https://www.alhambra-patronato.es/yeseria-arrayanes" TargetMode="External"/><Relationship Id="rId53" Type="http://schemas.openxmlformats.org/officeDocument/2006/relationships/hyperlink" Target="https://www.alhambra-patronato.es/elemento-del-mes/canecillo-del-alero-del-patio-de-comares" TargetMode="External"/><Relationship Id="rId54" Type="http://schemas.openxmlformats.org/officeDocument/2006/relationships/hyperlink" Target="https://www.alhambra-patronato.es/elemento-del-mes/torre-de-comares" TargetMode="External"/><Relationship Id="rId55" Type="http://schemas.openxmlformats.org/officeDocument/2006/relationships/hyperlink" Target="https://www.alhambra-patronato.es/edificios-lugares/fachada-de-comare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1"/>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4" customFormat="false" ht="15" hidden="false" customHeight="false" outlineLevel="0" collapsed="false">
      <c r="A4" s="2" t="s">
        <v>3</v>
      </c>
    </row>
    <row r="5" customFormat="false" ht="15" hidden="false" customHeight="false" outlineLevel="0" collapsed="false">
      <c r="A5" s="2" t="s">
        <v>4</v>
      </c>
    </row>
    <row r="6" customFormat="false" ht="15" hidden="false" customHeight="false" outlineLevel="0" collapsed="false">
      <c r="A6" s="2" t="s">
        <v>5</v>
      </c>
    </row>
    <row r="7" customFormat="false" ht="15" hidden="false" customHeight="false" outlineLevel="0" collapsed="false">
      <c r="A7" s="2" t="s">
        <v>6</v>
      </c>
    </row>
    <row r="8" customFormat="false" ht="15" hidden="false" customHeight="false" outlineLevel="0" collapsed="false">
      <c r="A8" s="2" t="s">
        <v>7</v>
      </c>
    </row>
    <row r="9" customFormat="false" ht="15" hidden="false" customHeight="false" outlineLevel="0" collapsed="false">
      <c r="A9" s="2"/>
    </row>
    <row r="10" customFormat="false" ht="15" hidden="false" customHeight="false" outlineLevel="0" collapsed="false">
      <c r="A10" s="3" t="s">
        <v>8</v>
      </c>
    </row>
    <row r="11" customFormat="false" ht="15" hidden="false" customHeight="false" outlineLevel="0" collapsed="false">
      <c r="A11" s="2"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70"/>
  </cols>
  <sheetData>
    <row r="1" customFormat="false" ht="17.35" hidden="false" customHeight="false" outlineLevel="0" collapsed="false">
      <c r="A1" s="4" t="s">
        <v>10</v>
      </c>
    </row>
    <row r="2" customFormat="false" ht="15" hidden="false" customHeight="false" outlineLevel="0" collapsed="false">
      <c r="A2" s="5" t="s">
        <v>11</v>
      </c>
    </row>
    <row r="4" customFormat="false" ht="15" hidden="false" customHeight="false" outlineLevel="0" collapsed="false">
      <c r="A4" s="6" t="s">
        <v>12</v>
      </c>
      <c r="B4" s="7"/>
    </row>
    <row r="5" customFormat="false" ht="15" hidden="false" customHeight="false" outlineLevel="0" collapsed="false">
      <c r="A5" s="6" t="s">
        <v>13</v>
      </c>
      <c r="B5" s="7"/>
    </row>
    <row r="6" customFormat="false" ht="15" hidden="false" customHeight="false" outlineLevel="0" collapsed="false">
      <c r="A6" s="6" t="s">
        <v>14</v>
      </c>
      <c r="B6" s="7"/>
    </row>
    <row r="7" customFormat="false" ht="15" hidden="false" customHeight="false" outlineLevel="0" collapsed="false">
      <c r="A7" s="6" t="s">
        <v>15</v>
      </c>
      <c r="B7" s="7"/>
    </row>
    <row r="8" customFormat="false" ht="15" hidden="false" customHeight="false" outlineLevel="0" collapsed="false">
      <c r="A8" s="6" t="s">
        <v>16</v>
      </c>
      <c r="B8" s="7"/>
    </row>
    <row r="9" customFormat="false" ht="15" hidden="false" customHeight="false" outlineLevel="0" collapsed="false">
      <c r="A9" s="6" t="s">
        <v>17</v>
      </c>
      <c r="B9" s="7"/>
    </row>
    <row r="10" customFormat="false" ht="15" hidden="false" customHeight="false" outlineLevel="0" collapsed="false">
      <c r="A10" s="6" t="s">
        <v>18</v>
      </c>
      <c r="B10" s="8" t="s">
        <v>19</v>
      </c>
    </row>
    <row r="11" customFormat="false" ht="15" hidden="false" customHeight="false" outlineLevel="0" collapsed="false">
      <c r="A11" s="6" t="s">
        <v>20</v>
      </c>
      <c r="B11" s="7"/>
    </row>
    <row r="13" customFormat="false" ht="15" hidden="false" customHeight="false" outlineLevel="0" collapsed="false">
      <c r="A13" s="6" t="s">
        <v>21</v>
      </c>
    </row>
    <row r="14" customFormat="false" ht="15" hidden="false" customHeight="false" outlineLevel="0" collapsed="false">
      <c r="A14" s="9" t="s">
        <v>22</v>
      </c>
      <c r="B14" s="9" t="n">
        <f aca="false">COUNTIF(الشواهد!$I$2:$I$58,"مطابق")</f>
        <v>0</v>
      </c>
    </row>
    <row r="15" customFormat="false" ht="15" hidden="false" customHeight="false" outlineLevel="0" collapsed="false">
      <c r="A15" s="9" t="s">
        <v>23</v>
      </c>
      <c r="B15" s="9" t="n">
        <f aca="false">COUNTIF(الشواهد!$I$2:$I$58,"مطابق بفرق يسير")</f>
        <v>0</v>
      </c>
    </row>
    <row r="16" customFormat="false" ht="15" hidden="false" customHeight="false" outlineLevel="0" collapsed="false">
      <c r="A16" s="9" t="s">
        <v>24</v>
      </c>
      <c r="B16" s="9" t="n">
        <f aca="false">COUNTIF(الشواهد!$I$2:$I$58,"غير مطابق")</f>
        <v>0</v>
      </c>
    </row>
    <row r="17" customFormat="false" ht="15" hidden="false" customHeight="false" outlineLevel="0" collapsed="false">
      <c r="A17" s="9" t="s">
        <v>25</v>
      </c>
      <c r="B17" s="9" t="n">
        <f aca="false">57-SUM(B14:B16)</f>
        <v>57</v>
      </c>
    </row>
    <row r="18" customFormat="false" ht="15" hidden="false" customHeight="false" outlineLevel="0" collapsed="false">
      <c r="A18" s="9" t="s">
        <v>26</v>
      </c>
      <c r="B18" s="9" t="n">
        <v>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8"/>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26"/>
    <col collapsed="false" customWidth="true" hidden="false" outlineLevel="0" max="4" min="4" style="0" width="24"/>
    <col collapsed="false" customWidth="true" hidden="false" outlineLevel="0" max="5" min="5" style="0" width="26"/>
    <col collapsed="false" customWidth="true" hidden="false" outlineLevel="0" max="6" min="6" style="0" width="22"/>
    <col collapsed="false" customWidth="true" hidden="false" outlineLevel="0" max="7" min="7" style="0" width="55"/>
    <col collapsed="false" customWidth="true" hidden="false" outlineLevel="0" max="8" min="8" style="0" width="30"/>
    <col collapsed="false" customWidth="true" hidden="false" outlineLevel="0" max="9" min="9" style="0" width="16"/>
    <col collapsed="false" customWidth="true" hidden="false" outlineLevel="0" max="10" min="10" style="0" width="40"/>
    <col collapsed="false" customWidth="true" hidden="false" outlineLevel="0" max="11" min="11" style="0" width="14"/>
  </cols>
  <sheetData>
    <row r="1" customFormat="false" ht="26.85" hidden="false" customHeight="false" outlineLevel="0" collapsed="false">
      <c r="A1" s="10" t="s">
        <v>27</v>
      </c>
      <c r="B1" s="10" t="s">
        <v>28</v>
      </c>
      <c r="C1" s="10" t="s">
        <v>29</v>
      </c>
      <c r="D1" s="10" t="s">
        <v>30</v>
      </c>
      <c r="E1" s="10" t="s">
        <v>31</v>
      </c>
      <c r="F1" s="10" t="s">
        <v>32</v>
      </c>
      <c r="G1" s="10" t="s">
        <v>33</v>
      </c>
      <c r="H1" s="10" t="s">
        <v>34</v>
      </c>
      <c r="I1" s="10" t="s">
        <v>35</v>
      </c>
      <c r="J1" s="10" t="s">
        <v>36</v>
      </c>
      <c r="K1" s="10" t="s">
        <v>37</v>
      </c>
    </row>
    <row r="2" customFormat="false" ht="35.05" hidden="false" customHeight="false" outlineLevel="0" collapsed="false">
      <c r="A2" s="8" t="s">
        <v>38</v>
      </c>
      <c r="B2" s="8" t="s">
        <v>39</v>
      </c>
      <c r="C2" s="8" t="s">
        <v>40</v>
      </c>
      <c r="D2" s="8" t="s">
        <v>41</v>
      </c>
      <c r="E2" s="8" t="s">
        <v>42</v>
      </c>
      <c r="F2" s="8" t="s">
        <v>43</v>
      </c>
      <c r="G2" s="8" t="s">
        <v>44</v>
      </c>
      <c r="H2" s="11" t="s">
        <v>45</v>
      </c>
      <c r="I2" s="7"/>
      <c r="J2" s="7"/>
      <c r="K2" s="8" t="s">
        <v>46</v>
      </c>
    </row>
    <row r="3" customFormat="false" ht="35.05" hidden="false" customHeight="false" outlineLevel="0" collapsed="false">
      <c r="A3" s="8" t="s">
        <v>47</v>
      </c>
      <c r="B3" s="8" t="s">
        <v>48</v>
      </c>
      <c r="C3" s="8" t="s">
        <v>49</v>
      </c>
      <c r="D3" s="8" t="s">
        <v>50</v>
      </c>
      <c r="E3" s="8" t="s">
        <v>42</v>
      </c>
      <c r="F3" s="8" t="s">
        <v>51</v>
      </c>
      <c r="G3" s="8" t="s">
        <v>52</v>
      </c>
      <c r="H3" s="11" t="s">
        <v>45</v>
      </c>
      <c r="I3" s="7"/>
      <c r="J3" s="7"/>
      <c r="K3" s="8" t="s">
        <v>46</v>
      </c>
    </row>
    <row r="4" customFormat="false" ht="23.85" hidden="false" customHeight="false" outlineLevel="0" collapsed="false">
      <c r="A4" s="8" t="s">
        <v>53</v>
      </c>
      <c r="B4" s="8" t="s">
        <v>54</v>
      </c>
      <c r="C4" s="8" t="s">
        <v>55</v>
      </c>
      <c r="D4" s="8" t="s">
        <v>50</v>
      </c>
      <c r="E4" s="8" t="s">
        <v>56</v>
      </c>
      <c r="F4" s="8" t="s">
        <v>57</v>
      </c>
      <c r="G4" s="8" t="s">
        <v>58</v>
      </c>
      <c r="H4" s="11" t="s">
        <v>59</v>
      </c>
      <c r="I4" s="7"/>
      <c r="J4" s="7"/>
      <c r="K4" s="8" t="s">
        <v>46</v>
      </c>
    </row>
    <row r="5" customFormat="false" ht="23.85" hidden="false" customHeight="false" outlineLevel="0" collapsed="false">
      <c r="A5" s="8" t="s">
        <v>60</v>
      </c>
      <c r="B5" s="8" t="s">
        <v>54</v>
      </c>
      <c r="C5" s="8" t="s">
        <v>55</v>
      </c>
      <c r="D5" s="8" t="s">
        <v>50</v>
      </c>
      <c r="E5" s="8" t="s">
        <v>61</v>
      </c>
      <c r="F5" s="8" t="s">
        <v>62</v>
      </c>
      <c r="G5" s="8" t="s">
        <v>63</v>
      </c>
      <c r="H5" s="11" t="s">
        <v>64</v>
      </c>
      <c r="I5" s="7"/>
      <c r="J5" s="7"/>
      <c r="K5" s="8" t="s">
        <v>46</v>
      </c>
    </row>
    <row r="6" customFormat="false" ht="23.85" hidden="false" customHeight="false" outlineLevel="0" collapsed="false">
      <c r="A6" s="8" t="s">
        <v>65</v>
      </c>
      <c r="B6" s="8" t="s">
        <v>66</v>
      </c>
      <c r="C6" s="8" t="s">
        <v>67</v>
      </c>
      <c r="D6" s="8" t="s">
        <v>68</v>
      </c>
      <c r="E6" s="8" t="s">
        <v>56</v>
      </c>
      <c r="F6" s="8" t="s">
        <v>69</v>
      </c>
      <c r="G6" s="8" t="s">
        <v>70</v>
      </c>
      <c r="H6" s="11" t="s">
        <v>59</v>
      </c>
      <c r="I6" s="7"/>
      <c r="J6" s="7"/>
      <c r="K6" s="8" t="s">
        <v>46</v>
      </c>
    </row>
    <row r="7" customFormat="false" ht="23.85" hidden="false" customHeight="false" outlineLevel="0" collapsed="false">
      <c r="A7" s="8" t="s">
        <v>71</v>
      </c>
      <c r="B7" s="8" t="s">
        <v>72</v>
      </c>
      <c r="C7" s="8" t="s">
        <v>73</v>
      </c>
      <c r="D7" s="8" t="s">
        <v>74</v>
      </c>
      <c r="E7" s="8" t="s">
        <v>75</v>
      </c>
      <c r="F7" s="8" t="s">
        <v>76</v>
      </c>
      <c r="G7" s="8" t="s">
        <v>77</v>
      </c>
      <c r="H7" s="11" t="s">
        <v>78</v>
      </c>
      <c r="I7" s="7"/>
      <c r="J7" s="7"/>
      <c r="K7" s="8" t="s">
        <v>46</v>
      </c>
    </row>
    <row r="8" customFormat="false" ht="23.85" hidden="false" customHeight="false" outlineLevel="0" collapsed="false">
      <c r="A8" s="8" t="s">
        <v>79</v>
      </c>
      <c r="B8" s="8" t="s">
        <v>80</v>
      </c>
      <c r="C8" s="8" t="s">
        <v>81</v>
      </c>
      <c r="D8" s="8" t="s">
        <v>82</v>
      </c>
      <c r="E8" s="8" t="s">
        <v>56</v>
      </c>
      <c r="F8" s="8" t="s">
        <v>69</v>
      </c>
      <c r="G8" s="8" t="s">
        <v>83</v>
      </c>
      <c r="H8" s="11" t="s">
        <v>59</v>
      </c>
      <c r="I8" s="7"/>
      <c r="J8" s="7"/>
      <c r="K8" s="8" t="s">
        <v>46</v>
      </c>
    </row>
    <row r="9" customFormat="false" ht="35.05" hidden="false" customHeight="false" outlineLevel="0" collapsed="false">
      <c r="A9" s="8" t="s">
        <v>84</v>
      </c>
      <c r="B9" s="8" t="s">
        <v>80</v>
      </c>
      <c r="C9" s="8" t="s">
        <v>81</v>
      </c>
      <c r="D9" s="8" t="s">
        <v>82</v>
      </c>
      <c r="E9" s="8" t="s">
        <v>42</v>
      </c>
      <c r="F9" s="8" t="s">
        <v>85</v>
      </c>
      <c r="G9" s="8" t="s">
        <v>86</v>
      </c>
      <c r="H9" s="11" t="s">
        <v>45</v>
      </c>
      <c r="I9" s="7"/>
      <c r="J9" s="7"/>
      <c r="K9" s="8" t="s">
        <v>46</v>
      </c>
    </row>
    <row r="10" customFormat="false" ht="35.05" hidden="false" customHeight="false" outlineLevel="0" collapsed="false">
      <c r="A10" s="8" t="s">
        <v>87</v>
      </c>
      <c r="B10" s="8" t="s">
        <v>88</v>
      </c>
      <c r="C10" s="8" t="s">
        <v>89</v>
      </c>
      <c r="D10" s="8" t="s">
        <v>90</v>
      </c>
      <c r="E10" s="8" t="s">
        <v>42</v>
      </c>
      <c r="F10" s="8" t="s">
        <v>43</v>
      </c>
      <c r="G10" s="8" t="s">
        <v>91</v>
      </c>
      <c r="H10" s="11" t="s">
        <v>45</v>
      </c>
      <c r="I10" s="7"/>
      <c r="J10" s="7"/>
      <c r="K10" s="8" t="s">
        <v>46</v>
      </c>
    </row>
    <row r="11" customFormat="false" ht="23.85" hidden="false" customHeight="false" outlineLevel="0" collapsed="false">
      <c r="A11" s="8" t="s">
        <v>92</v>
      </c>
      <c r="B11" s="8" t="s">
        <v>93</v>
      </c>
      <c r="C11" s="8" t="s">
        <v>94</v>
      </c>
      <c r="D11" s="8" t="s">
        <v>95</v>
      </c>
      <c r="E11" s="8" t="s">
        <v>96</v>
      </c>
      <c r="F11" s="8" t="s">
        <v>76</v>
      </c>
      <c r="G11" s="8" t="s">
        <v>97</v>
      </c>
      <c r="H11" s="11" t="s">
        <v>98</v>
      </c>
      <c r="I11" s="7"/>
      <c r="J11" s="7"/>
      <c r="K11" s="8" t="s">
        <v>46</v>
      </c>
    </row>
    <row r="12" customFormat="false" ht="23.85" hidden="false" customHeight="false" outlineLevel="0" collapsed="false">
      <c r="A12" s="8" t="s">
        <v>99</v>
      </c>
      <c r="B12" s="8" t="s">
        <v>100</v>
      </c>
      <c r="C12" s="8" t="s">
        <v>101</v>
      </c>
      <c r="D12" s="8" t="s">
        <v>102</v>
      </c>
      <c r="E12" s="8" t="s">
        <v>96</v>
      </c>
      <c r="F12" s="8" t="s">
        <v>76</v>
      </c>
      <c r="G12" s="8" t="s">
        <v>97</v>
      </c>
      <c r="H12" s="11" t="s">
        <v>98</v>
      </c>
      <c r="I12" s="7"/>
      <c r="J12" s="7"/>
      <c r="K12" s="8" t="s">
        <v>46</v>
      </c>
    </row>
    <row r="13" customFormat="false" ht="23.85" hidden="false" customHeight="false" outlineLevel="0" collapsed="false">
      <c r="A13" s="8" t="s">
        <v>103</v>
      </c>
      <c r="B13" s="8" t="s">
        <v>100</v>
      </c>
      <c r="C13" s="8" t="s">
        <v>101</v>
      </c>
      <c r="D13" s="8" t="s">
        <v>102</v>
      </c>
      <c r="E13" s="8" t="s">
        <v>56</v>
      </c>
      <c r="F13" s="8" t="s">
        <v>57</v>
      </c>
      <c r="G13" s="8" t="s">
        <v>58</v>
      </c>
      <c r="H13" s="11" t="s">
        <v>59</v>
      </c>
      <c r="I13" s="7"/>
      <c r="J13" s="7"/>
      <c r="K13" s="8" t="s">
        <v>46</v>
      </c>
    </row>
    <row r="14" customFormat="false" ht="23.85" hidden="false" customHeight="false" outlineLevel="0" collapsed="false">
      <c r="A14" s="8" t="s">
        <v>104</v>
      </c>
      <c r="B14" s="8" t="s">
        <v>105</v>
      </c>
      <c r="C14" s="8" t="s">
        <v>106</v>
      </c>
      <c r="D14" s="8" t="s">
        <v>107</v>
      </c>
      <c r="E14" s="8" t="s">
        <v>96</v>
      </c>
      <c r="F14" s="8" t="s">
        <v>76</v>
      </c>
      <c r="G14" s="8" t="s">
        <v>108</v>
      </c>
      <c r="H14" s="11" t="s">
        <v>98</v>
      </c>
      <c r="I14" s="7"/>
      <c r="J14" s="7"/>
      <c r="K14" s="8" t="s">
        <v>46</v>
      </c>
    </row>
    <row r="15" customFormat="false" ht="35.05" hidden="false" customHeight="false" outlineLevel="0" collapsed="false">
      <c r="A15" s="8" t="s">
        <v>109</v>
      </c>
      <c r="B15" s="8" t="s">
        <v>105</v>
      </c>
      <c r="C15" s="8" t="s">
        <v>106</v>
      </c>
      <c r="D15" s="8" t="s">
        <v>107</v>
      </c>
      <c r="E15" s="8" t="s">
        <v>42</v>
      </c>
      <c r="F15" s="8" t="s">
        <v>110</v>
      </c>
      <c r="G15" s="8" t="s">
        <v>111</v>
      </c>
      <c r="H15" s="11" t="s">
        <v>45</v>
      </c>
      <c r="I15" s="7"/>
      <c r="J15" s="7"/>
      <c r="K15" s="8" t="s">
        <v>46</v>
      </c>
    </row>
    <row r="16" customFormat="false" ht="23.85" hidden="false" customHeight="false" outlineLevel="0" collapsed="false">
      <c r="A16" s="8" t="s">
        <v>112</v>
      </c>
      <c r="B16" s="8" t="s">
        <v>113</v>
      </c>
      <c r="C16" s="8" t="s">
        <v>114</v>
      </c>
      <c r="D16" s="8" t="s">
        <v>115</v>
      </c>
      <c r="E16" s="8" t="s">
        <v>61</v>
      </c>
      <c r="F16" s="8" t="s">
        <v>62</v>
      </c>
      <c r="G16" s="8" t="s">
        <v>63</v>
      </c>
      <c r="H16" s="11" t="s">
        <v>64</v>
      </c>
      <c r="I16" s="7"/>
      <c r="J16" s="7"/>
      <c r="K16" s="8" t="s">
        <v>46</v>
      </c>
    </row>
    <row r="17" customFormat="false" ht="57.45" hidden="false" customHeight="false" outlineLevel="0" collapsed="false">
      <c r="A17" s="8" t="s">
        <v>116</v>
      </c>
      <c r="B17" s="8" t="s">
        <v>117</v>
      </c>
      <c r="C17" s="8" t="s">
        <v>118</v>
      </c>
      <c r="D17" s="8" t="s">
        <v>119</v>
      </c>
      <c r="E17" s="8" t="s">
        <v>96</v>
      </c>
      <c r="F17" s="8" t="s">
        <v>76</v>
      </c>
      <c r="G17" s="8" t="s">
        <v>120</v>
      </c>
      <c r="H17" s="11" t="s">
        <v>98</v>
      </c>
      <c r="I17" s="7"/>
      <c r="J17" s="7"/>
      <c r="K17" s="8" t="s">
        <v>46</v>
      </c>
    </row>
    <row r="18" customFormat="false" ht="23.85" hidden="false" customHeight="false" outlineLevel="0" collapsed="false">
      <c r="A18" s="8" t="s">
        <v>121</v>
      </c>
      <c r="B18" s="8" t="s">
        <v>122</v>
      </c>
      <c r="C18" s="8" t="s">
        <v>123</v>
      </c>
      <c r="D18" s="8" t="s">
        <v>124</v>
      </c>
      <c r="E18" s="8" t="s">
        <v>125</v>
      </c>
      <c r="F18" s="8" t="s">
        <v>126</v>
      </c>
      <c r="G18" s="8" t="s">
        <v>127</v>
      </c>
      <c r="H18" s="11" t="s">
        <v>128</v>
      </c>
      <c r="I18" s="7"/>
      <c r="J18" s="7"/>
      <c r="K18" s="8" t="s">
        <v>46</v>
      </c>
    </row>
    <row r="19" customFormat="false" ht="35.05" hidden="false" customHeight="false" outlineLevel="0" collapsed="false">
      <c r="A19" s="8" t="s">
        <v>129</v>
      </c>
      <c r="B19" s="8" t="s">
        <v>130</v>
      </c>
      <c r="C19" s="8" t="s">
        <v>131</v>
      </c>
      <c r="D19" s="8" t="s">
        <v>132</v>
      </c>
      <c r="E19" s="8" t="s">
        <v>125</v>
      </c>
      <c r="F19" s="8" t="s">
        <v>126</v>
      </c>
      <c r="G19" s="8" t="s">
        <v>133</v>
      </c>
      <c r="H19" s="11" t="s">
        <v>128</v>
      </c>
      <c r="I19" s="7"/>
      <c r="J19" s="7"/>
      <c r="K19" s="8" t="s">
        <v>46</v>
      </c>
    </row>
    <row r="20" customFormat="false" ht="46.25" hidden="false" customHeight="false" outlineLevel="0" collapsed="false">
      <c r="A20" s="8" t="s">
        <v>134</v>
      </c>
      <c r="B20" s="8" t="s">
        <v>135</v>
      </c>
      <c r="C20" s="8" t="s">
        <v>136</v>
      </c>
      <c r="D20" s="8" t="s">
        <v>137</v>
      </c>
      <c r="E20" s="8" t="s">
        <v>125</v>
      </c>
      <c r="F20" s="8" t="s">
        <v>126</v>
      </c>
      <c r="G20" s="8" t="s">
        <v>138</v>
      </c>
      <c r="H20" s="11" t="s">
        <v>139</v>
      </c>
      <c r="I20" s="7"/>
      <c r="J20" s="7"/>
      <c r="K20" s="8" t="s">
        <v>46</v>
      </c>
    </row>
    <row r="21" customFormat="false" ht="23.85" hidden="false" customHeight="false" outlineLevel="0" collapsed="false">
      <c r="A21" s="8" t="s">
        <v>140</v>
      </c>
      <c r="B21" s="8" t="s">
        <v>141</v>
      </c>
      <c r="C21" s="8" t="s">
        <v>142</v>
      </c>
      <c r="D21" s="8" t="s">
        <v>143</v>
      </c>
      <c r="E21" s="8" t="s">
        <v>125</v>
      </c>
      <c r="F21" s="8" t="s">
        <v>144</v>
      </c>
      <c r="G21" s="8" t="s">
        <v>145</v>
      </c>
      <c r="H21" s="11" t="s">
        <v>139</v>
      </c>
      <c r="I21" s="7"/>
      <c r="J21" s="7"/>
      <c r="K21" s="8" t="s">
        <v>46</v>
      </c>
    </row>
    <row r="22" customFormat="false" ht="23.85" hidden="false" customHeight="false" outlineLevel="0" collapsed="false">
      <c r="A22" s="8" t="s">
        <v>146</v>
      </c>
      <c r="B22" s="8" t="s">
        <v>147</v>
      </c>
      <c r="C22" s="8" t="s">
        <v>148</v>
      </c>
      <c r="D22" s="8" t="s">
        <v>149</v>
      </c>
      <c r="E22" s="8" t="s">
        <v>56</v>
      </c>
      <c r="F22" s="8" t="s">
        <v>57</v>
      </c>
      <c r="G22" s="8" t="s">
        <v>150</v>
      </c>
      <c r="H22" s="11" t="s">
        <v>59</v>
      </c>
      <c r="I22" s="7"/>
      <c r="J22" s="7"/>
      <c r="K22" s="8" t="s">
        <v>46</v>
      </c>
    </row>
    <row r="23" customFormat="false" ht="35.05" hidden="false" customHeight="false" outlineLevel="0" collapsed="false">
      <c r="A23" s="8" t="s">
        <v>151</v>
      </c>
      <c r="B23" s="8" t="s">
        <v>147</v>
      </c>
      <c r="C23" s="8" t="s">
        <v>148</v>
      </c>
      <c r="D23" s="8" t="s">
        <v>149</v>
      </c>
      <c r="E23" s="8" t="s">
        <v>42</v>
      </c>
      <c r="F23" s="8" t="s">
        <v>43</v>
      </c>
      <c r="G23" s="8" t="s">
        <v>152</v>
      </c>
      <c r="H23" s="11" t="s">
        <v>45</v>
      </c>
      <c r="I23" s="7"/>
      <c r="J23" s="7"/>
      <c r="K23" s="8" t="s">
        <v>46</v>
      </c>
    </row>
    <row r="24" customFormat="false" ht="35.05" hidden="false" customHeight="false" outlineLevel="0" collapsed="false">
      <c r="A24" s="8" t="s">
        <v>153</v>
      </c>
      <c r="B24" s="8" t="s">
        <v>154</v>
      </c>
      <c r="C24" s="8" t="s">
        <v>155</v>
      </c>
      <c r="D24" s="8" t="s">
        <v>156</v>
      </c>
      <c r="E24" s="8" t="s">
        <v>96</v>
      </c>
      <c r="F24" s="8" t="s">
        <v>157</v>
      </c>
      <c r="G24" s="8" t="s">
        <v>158</v>
      </c>
      <c r="H24" s="11" t="s">
        <v>98</v>
      </c>
      <c r="I24" s="7"/>
      <c r="J24" s="7"/>
      <c r="K24" s="8" t="s">
        <v>46</v>
      </c>
    </row>
    <row r="25" customFormat="false" ht="23.85" hidden="false" customHeight="false" outlineLevel="0" collapsed="false">
      <c r="A25" s="8" t="s">
        <v>159</v>
      </c>
      <c r="B25" s="8" t="s">
        <v>160</v>
      </c>
      <c r="C25" s="8" t="s">
        <v>161</v>
      </c>
      <c r="D25" s="8" t="s">
        <v>162</v>
      </c>
      <c r="E25" s="8" t="s">
        <v>61</v>
      </c>
      <c r="F25" s="8" t="s">
        <v>62</v>
      </c>
      <c r="G25" s="8" t="s">
        <v>163</v>
      </c>
      <c r="H25" s="11" t="s">
        <v>64</v>
      </c>
      <c r="I25" s="7"/>
      <c r="J25" s="7"/>
      <c r="K25" s="8" t="s">
        <v>46</v>
      </c>
    </row>
    <row r="26" customFormat="false" ht="23.85" hidden="false" customHeight="false" outlineLevel="0" collapsed="false">
      <c r="A26" s="8" t="s">
        <v>164</v>
      </c>
      <c r="B26" s="8" t="s">
        <v>165</v>
      </c>
      <c r="C26" s="8" t="s">
        <v>166</v>
      </c>
      <c r="D26" s="8" t="s">
        <v>167</v>
      </c>
      <c r="E26" s="8" t="s">
        <v>61</v>
      </c>
      <c r="F26" s="8" t="s">
        <v>62</v>
      </c>
      <c r="G26" s="8" t="s">
        <v>63</v>
      </c>
      <c r="H26" s="11" t="s">
        <v>64</v>
      </c>
      <c r="I26" s="7"/>
      <c r="J26" s="7"/>
      <c r="K26" s="8" t="s">
        <v>46</v>
      </c>
    </row>
    <row r="27" customFormat="false" ht="35.05" hidden="false" customHeight="false" outlineLevel="0" collapsed="false">
      <c r="A27" s="8" t="s">
        <v>168</v>
      </c>
      <c r="B27" s="8" t="s">
        <v>165</v>
      </c>
      <c r="C27" s="8" t="s">
        <v>166</v>
      </c>
      <c r="D27" s="8" t="s">
        <v>167</v>
      </c>
      <c r="E27" s="8" t="s">
        <v>42</v>
      </c>
      <c r="F27" s="8" t="s">
        <v>51</v>
      </c>
      <c r="G27" s="8" t="s">
        <v>52</v>
      </c>
      <c r="H27" s="11" t="s">
        <v>45</v>
      </c>
      <c r="I27" s="7"/>
      <c r="J27" s="7"/>
      <c r="K27" s="8" t="s">
        <v>46</v>
      </c>
    </row>
    <row r="28" customFormat="false" ht="23.85" hidden="false" customHeight="false" outlineLevel="0" collapsed="false">
      <c r="A28" s="8" t="s">
        <v>169</v>
      </c>
      <c r="B28" s="8" t="s">
        <v>170</v>
      </c>
      <c r="C28" s="8" t="s">
        <v>171</v>
      </c>
      <c r="D28" s="8" t="s">
        <v>172</v>
      </c>
      <c r="E28" s="8" t="s">
        <v>75</v>
      </c>
      <c r="F28" s="8" t="s">
        <v>76</v>
      </c>
      <c r="G28" s="8" t="s">
        <v>173</v>
      </c>
      <c r="H28" s="11" t="s">
        <v>78</v>
      </c>
      <c r="I28" s="7"/>
      <c r="J28" s="7"/>
      <c r="K28" s="8" t="s">
        <v>46</v>
      </c>
    </row>
    <row r="29" customFormat="false" ht="23.85" hidden="false" customHeight="false" outlineLevel="0" collapsed="false">
      <c r="A29" s="8" t="s">
        <v>174</v>
      </c>
      <c r="B29" s="8" t="s">
        <v>175</v>
      </c>
      <c r="C29" s="8" t="s">
        <v>176</v>
      </c>
      <c r="D29" s="8" t="s">
        <v>177</v>
      </c>
      <c r="E29" s="8" t="s">
        <v>178</v>
      </c>
      <c r="F29" s="8" t="s">
        <v>179</v>
      </c>
      <c r="G29" s="8" t="s">
        <v>180</v>
      </c>
      <c r="H29" s="11" t="s">
        <v>181</v>
      </c>
      <c r="I29" s="7"/>
      <c r="J29" s="7"/>
      <c r="K29" s="8" t="s">
        <v>46</v>
      </c>
    </row>
    <row r="30" customFormat="false" ht="46.25" hidden="false" customHeight="false" outlineLevel="0" collapsed="false">
      <c r="A30" s="8" t="s">
        <v>182</v>
      </c>
      <c r="B30" s="8" t="s">
        <v>183</v>
      </c>
      <c r="C30" s="8" t="s">
        <v>184</v>
      </c>
      <c r="D30" s="8" t="s">
        <v>185</v>
      </c>
      <c r="E30" s="8" t="s">
        <v>186</v>
      </c>
      <c r="F30" s="8" t="s">
        <v>187</v>
      </c>
      <c r="G30" s="8" t="s">
        <v>188</v>
      </c>
      <c r="H30" s="11" t="s">
        <v>189</v>
      </c>
      <c r="I30" s="7"/>
      <c r="J30" s="7"/>
      <c r="K30" s="8" t="s">
        <v>190</v>
      </c>
    </row>
    <row r="31" customFormat="false" ht="46.25" hidden="false" customHeight="false" outlineLevel="0" collapsed="false">
      <c r="A31" s="8" t="s">
        <v>191</v>
      </c>
      <c r="B31" s="8" t="s">
        <v>192</v>
      </c>
      <c r="C31" s="8" t="s">
        <v>193</v>
      </c>
      <c r="D31" s="8" t="s">
        <v>194</v>
      </c>
      <c r="E31" s="8" t="s">
        <v>186</v>
      </c>
      <c r="F31" s="8" t="s">
        <v>195</v>
      </c>
      <c r="G31" s="8" t="s">
        <v>196</v>
      </c>
      <c r="H31" s="11" t="s">
        <v>189</v>
      </c>
      <c r="I31" s="7"/>
      <c r="J31" s="7"/>
      <c r="K31" s="8" t="s">
        <v>190</v>
      </c>
    </row>
    <row r="32" customFormat="false" ht="57.45" hidden="false" customHeight="false" outlineLevel="0" collapsed="false">
      <c r="A32" s="8" t="s">
        <v>197</v>
      </c>
      <c r="B32" s="8" t="s">
        <v>117</v>
      </c>
      <c r="C32" s="8" t="s">
        <v>118</v>
      </c>
      <c r="D32" s="8" t="s">
        <v>119</v>
      </c>
      <c r="E32" s="8" t="s">
        <v>186</v>
      </c>
      <c r="F32" s="8" t="s">
        <v>198</v>
      </c>
      <c r="G32" s="8" t="s">
        <v>199</v>
      </c>
      <c r="H32" s="11" t="s">
        <v>189</v>
      </c>
      <c r="I32" s="7"/>
      <c r="J32" s="7"/>
      <c r="K32" s="8" t="s">
        <v>190</v>
      </c>
    </row>
    <row r="33" customFormat="false" ht="91" hidden="false" customHeight="false" outlineLevel="0" collapsed="false">
      <c r="A33" s="8" t="s">
        <v>200</v>
      </c>
      <c r="B33" s="8" t="s">
        <v>201</v>
      </c>
      <c r="C33" s="8" t="s">
        <v>202</v>
      </c>
      <c r="D33" s="8" t="s">
        <v>203</v>
      </c>
      <c r="E33" s="8" t="s">
        <v>204</v>
      </c>
      <c r="F33" s="8" t="s">
        <v>205</v>
      </c>
      <c r="G33" s="8" t="s">
        <v>206</v>
      </c>
      <c r="H33" s="11" t="s">
        <v>207</v>
      </c>
      <c r="I33" s="7"/>
      <c r="J33" s="7"/>
      <c r="K33" s="8" t="s">
        <v>46</v>
      </c>
    </row>
    <row r="34" customFormat="false" ht="91" hidden="false" customHeight="false" outlineLevel="0" collapsed="false">
      <c r="A34" s="8" t="s">
        <v>208</v>
      </c>
      <c r="B34" s="8" t="s">
        <v>201</v>
      </c>
      <c r="C34" s="8" t="s">
        <v>202</v>
      </c>
      <c r="D34" s="8" t="s">
        <v>203</v>
      </c>
      <c r="E34" s="8" t="s">
        <v>204</v>
      </c>
      <c r="F34" s="8" t="s">
        <v>209</v>
      </c>
      <c r="G34" s="8" t="s">
        <v>210</v>
      </c>
      <c r="H34" s="11" t="s">
        <v>207</v>
      </c>
      <c r="I34" s="7"/>
      <c r="J34" s="7"/>
      <c r="K34" s="8" t="s">
        <v>46</v>
      </c>
    </row>
    <row r="35" customFormat="false" ht="79.85" hidden="false" customHeight="false" outlineLevel="0" collapsed="false">
      <c r="A35" s="8" t="s">
        <v>211</v>
      </c>
      <c r="B35" s="8" t="s">
        <v>201</v>
      </c>
      <c r="C35" s="8" t="s">
        <v>202</v>
      </c>
      <c r="D35" s="8" t="s">
        <v>203</v>
      </c>
      <c r="E35" s="8" t="s">
        <v>212</v>
      </c>
      <c r="F35" s="8" t="s">
        <v>213</v>
      </c>
      <c r="G35" s="8" t="s">
        <v>214</v>
      </c>
      <c r="H35" s="8" t="s">
        <v>215</v>
      </c>
      <c r="I35" s="7"/>
      <c r="J35" s="7"/>
      <c r="K35" s="8" t="s">
        <v>216</v>
      </c>
    </row>
    <row r="36" customFormat="false" ht="79.85" hidden="false" customHeight="false" outlineLevel="0" collapsed="false">
      <c r="A36" s="8" t="s">
        <v>217</v>
      </c>
      <c r="B36" s="8" t="s">
        <v>201</v>
      </c>
      <c r="C36" s="8" t="s">
        <v>202</v>
      </c>
      <c r="D36" s="8" t="s">
        <v>203</v>
      </c>
      <c r="E36" s="8" t="s">
        <v>212</v>
      </c>
      <c r="F36" s="8" t="s">
        <v>218</v>
      </c>
      <c r="G36" s="8" t="s">
        <v>219</v>
      </c>
      <c r="H36" s="8" t="s">
        <v>215</v>
      </c>
      <c r="I36" s="7"/>
      <c r="J36" s="7"/>
      <c r="K36" s="8" t="s">
        <v>216</v>
      </c>
    </row>
    <row r="37" customFormat="false" ht="23.85" hidden="false" customHeight="false" outlineLevel="0" collapsed="false">
      <c r="A37" s="8" t="s">
        <v>220</v>
      </c>
      <c r="B37" s="8" t="s">
        <v>221</v>
      </c>
      <c r="C37" s="8" t="s">
        <v>222</v>
      </c>
      <c r="D37" s="8" t="s">
        <v>223</v>
      </c>
      <c r="E37" s="8" t="s">
        <v>178</v>
      </c>
      <c r="F37" s="8" t="s">
        <v>224</v>
      </c>
      <c r="G37" s="8" t="s">
        <v>225</v>
      </c>
      <c r="H37" s="11" t="s">
        <v>226</v>
      </c>
      <c r="I37" s="7"/>
      <c r="J37" s="7"/>
      <c r="K37" s="8" t="s">
        <v>46</v>
      </c>
    </row>
    <row r="38" customFormat="false" ht="23.85" hidden="false" customHeight="false" outlineLevel="0" collapsed="false">
      <c r="A38" s="8" t="s">
        <v>227</v>
      </c>
      <c r="B38" s="8" t="s">
        <v>228</v>
      </c>
      <c r="C38" s="8" t="s">
        <v>229</v>
      </c>
      <c r="D38" s="8" t="s">
        <v>230</v>
      </c>
      <c r="E38" s="8" t="s">
        <v>125</v>
      </c>
      <c r="F38" s="8" t="s">
        <v>231</v>
      </c>
      <c r="G38" s="8" t="s">
        <v>232</v>
      </c>
      <c r="H38" s="11" t="s">
        <v>233</v>
      </c>
      <c r="I38" s="7"/>
      <c r="J38" s="7"/>
      <c r="K38" s="8" t="s">
        <v>46</v>
      </c>
    </row>
    <row r="39" customFormat="false" ht="23.85" hidden="false" customHeight="false" outlineLevel="0" collapsed="false">
      <c r="A39" s="8" t="s">
        <v>234</v>
      </c>
      <c r="B39" s="8" t="s">
        <v>235</v>
      </c>
      <c r="C39" s="8" t="s">
        <v>236</v>
      </c>
      <c r="D39" s="8" t="s">
        <v>237</v>
      </c>
      <c r="E39" s="8" t="s">
        <v>125</v>
      </c>
      <c r="F39" s="8" t="s">
        <v>231</v>
      </c>
      <c r="G39" s="8" t="s">
        <v>238</v>
      </c>
      <c r="H39" s="11" t="s">
        <v>239</v>
      </c>
      <c r="I39" s="7"/>
      <c r="J39" s="7"/>
      <c r="K39" s="8" t="s">
        <v>46</v>
      </c>
    </row>
    <row r="40" customFormat="false" ht="23.85" hidden="false" customHeight="false" outlineLevel="0" collapsed="false">
      <c r="A40" s="8" t="s">
        <v>240</v>
      </c>
      <c r="B40" s="8" t="s">
        <v>241</v>
      </c>
      <c r="C40" s="8" t="s">
        <v>242</v>
      </c>
      <c r="D40" s="8" t="s">
        <v>243</v>
      </c>
      <c r="E40" s="8" t="s">
        <v>178</v>
      </c>
      <c r="F40" s="8" t="s">
        <v>224</v>
      </c>
      <c r="G40" s="8" t="s">
        <v>244</v>
      </c>
      <c r="H40" s="11" t="s">
        <v>226</v>
      </c>
      <c r="I40" s="7"/>
      <c r="J40" s="7"/>
      <c r="K40" s="8" t="s">
        <v>46</v>
      </c>
    </row>
    <row r="41" customFormat="false" ht="23.85" hidden="false" customHeight="false" outlineLevel="0" collapsed="false">
      <c r="A41" s="8" t="s">
        <v>245</v>
      </c>
      <c r="B41" s="8" t="s">
        <v>246</v>
      </c>
      <c r="C41" s="8" t="s">
        <v>184</v>
      </c>
      <c r="D41" s="8" t="s">
        <v>247</v>
      </c>
      <c r="E41" s="8" t="s">
        <v>178</v>
      </c>
      <c r="F41" s="8" t="s">
        <v>224</v>
      </c>
      <c r="G41" s="8" t="s">
        <v>244</v>
      </c>
      <c r="H41" s="11" t="s">
        <v>226</v>
      </c>
      <c r="I41" s="7"/>
      <c r="J41" s="7"/>
      <c r="K41" s="8" t="s">
        <v>46</v>
      </c>
    </row>
    <row r="42" customFormat="false" ht="23.85" hidden="false" customHeight="false" outlineLevel="0" collapsed="false">
      <c r="A42" s="8" t="s">
        <v>248</v>
      </c>
      <c r="B42" s="8" t="s">
        <v>249</v>
      </c>
      <c r="C42" s="8" t="s">
        <v>250</v>
      </c>
      <c r="D42" s="8" t="s">
        <v>251</v>
      </c>
      <c r="E42" s="8" t="s">
        <v>125</v>
      </c>
      <c r="F42" s="8" t="s">
        <v>231</v>
      </c>
      <c r="G42" s="8" t="s">
        <v>252</v>
      </c>
      <c r="H42" s="11" t="s">
        <v>239</v>
      </c>
      <c r="I42" s="7"/>
      <c r="J42" s="7"/>
      <c r="K42" s="8" t="s">
        <v>46</v>
      </c>
    </row>
    <row r="43" customFormat="false" ht="23.85" hidden="false" customHeight="false" outlineLevel="0" collapsed="false">
      <c r="A43" s="8" t="s">
        <v>253</v>
      </c>
      <c r="B43" s="8" t="s">
        <v>254</v>
      </c>
      <c r="C43" s="8" t="s">
        <v>255</v>
      </c>
      <c r="D43" s="8" t="s">
        <v>256</v>
      </c>
      <c r="E43" s="8" t="s">
        <v>125</v>
      </c>
      <c r="F43" s="8" t="s">
        <v>231</v>
      </c>
      <c r="G43" s="8" t="s">
        <v>257</v>
      </c>
      <c r="H43" s="11" t="s">
        <v>233</v>
      </c>
      <c r="I43" s="7"/>
      <c r="J43" s="7"/>
      <c r="K43" s="8" t="s">
        <v>46</v>
      </c>
    </row>
    <row r="44" customFormat="false" ht="23.85" hidden="false" customHeight="false" outlineLevel="0" collapsed="false">
      <c r="A44" s="8" t="s">
        <v>258</v>
      </c>
      <c r="B44" s="8" t="s">
        <v>259</v>
      </c>
      <c r="C44" s="8" t="s">
        <v>260</v>
      </c>
      <c r="D44" s="8" t="s">
        <v>261</v>
      </c>
      <c r="E44" s="8" t="s">
        <v>125</v>
      </c>
      <c r="F44" s="8" t="s">
        <v>231</v>
      </c>
      <c r="G44" s="8" t="s">
        <v>238</v>
      </c>
      <c r="H44" s="11" t="s">
        <v>239</v>
      </c>
      <c r="I44" s="7"/>
      <c r="J44" s="7"/>
      <c r="K44" s="8" t="s">
        <v>46</v>
      </c>
    </row>
    <row r="45" customFormat="false" ht="23.85" hidden="false" customHeight="false" outlineLevel="0" collapsed="false">
      <c r="A45" s="8" t="s">
        <v>262</v>
      </c>
      <c r="B45" s="8" t="s">
        <v>263</v>
      </c>
      <c r="C45" s="8" t="s">
        <v>264</v>
      </c>
      <c r="D45" s="8" t="s">
        <v>265</v>
      </c>
      <c r="E45" s="8" t="s">
        <v>125</v>
      </c>
      <c r="F45" s="8" t="s">
        <v>231</v>
      </c>
      <c r="G45" s="8" t="s">
        <v>266</v>
      </c>
      <c r="H45" s="11" t="s">
        <v>233</v>
      </c>
      <c r="I45" s="7"/>
      <c r="J45" s="7"/>
      <c r="K45" s="8" t="s">
        <v>46</v>
      </c>
    </row>
    <row r="46" customFormat="false" ht="23.85" hidden="false" customHeight="false" outlineLevel="0" collapsed="false">
      <c r="A46" s="8" t="s">
        <v>267</v>
      </c>
      <c r="B46" s="8" t="s">
        <v>268</v>
      </c>
      <c r="C46" s="8" t="s">
        <v>269</v>
      </c>
      <c r="D46" s="8" t="s">
        <v>270</v>
      </c>
      <c r="E46" s="8" t="s">
        <v>178</v>
      </c>
      <c r="F46" s="8" t="s">
        <v>271</v>
      </c>
      <c r="G46" s="8" t="s">
        <v>225</v>
      </c>
      <c r="H46" s="11" t="s">
        <v>272</v>
      </c>
      <c r="I46" s="7"/>
      <c r="J46" s="7"/>
      <c r="K46" s="8" t="s">
        <v>46</v>
      </c>
    </row>
    <row r="47" customFormat="false" ht="35.05" hidden="false" customHeight="false" outlineLevel="0" collapsed="false">
      <c r="A47" s="8" t="s">
        <v>273</v>
      </c>
      <c r="B47" s="8" t="s">
        <v>274</v>
      </c>
      <c r="C47" s="8" t="s">
        <v>275</v>
      </c>
      <c r="D47" s="8" t="s">
        <v>276</v>
      </c>
      <c r="E47" s="8" t="s">
        <v>178</v>
      </c>
      <c r="F47" s="8" t="s">
        <v>271</v>
      </c>
      <c r="G47" s="8" t="s">
        <v>277</v>
      </c>
      <c r="H47" s="11" t="s">
        <v>272</v>
      </c>
      <c r="I47" s="7"/>
      <c r="J47" s="7"/>
      <c r="K47" s="8" t="s">
        <v>46</v>
      </c>
    </row>
    <row r="48" customFormat="false" ht="23.85" hidden="false" customHeight="false" outlineLevel="0" collapsed="false">
      <c r="A48" s="8" t="s">
        <v>278</v>
      </c>
      <c r="B48" s="8" t="s">
        <v>201</v>
      </c>
      <c r="C48" s="8" t="s">
        <v>202</v>
      </c>
      <c r="D48" s="8" t="s">
        <v>203</v>
      </c>
      <c r="E48" s="8" t="s">
        <v>125</v>
      </c>
      <c r="F48" s="8" t="s">
        <v>279</v>
      </c>
      <c r="G48" s="8" t="s">
        <v>280</v>
      </c>
      <c r="H48" s="11" t="s">
        <v>281</v>
      </c>
      <c r="I48" s="7"/>
      <c r="J48" s="7"/>
      <c r="K48" s="8" t="s">
        <v>46</v>
      </c>
    </row>
    <row r="49" customFormat="false" ht="35.05" hidden="false" customHeight="false" outlineLevel="0" collapsed="false">
      <c r="A49" s="8" t="s">
        <v>282</v>
      </c>
      <c r="B49" s="8" t="s">
        <v>283</v>
      </c>
      <c r="C49" s="8" t="s">
        <v>284</v>
      </c>
      <c r="D49" s="8" t="s">
        <v>285</v>
      </c>
      <c r="E49" s="8" t="s">
        <v>286</v>
      </c>
      <c r="F49" s="8" t="s">
        <v>287</v>
      </c>
      <c r="G49" s="8" t="s">
        <v>288</v>
      </c>
      <c r="H49" s="11" t="s">
        <v>289</v>
      </c>
      <c r="I49" s="7"/>
      <c r="J49" s="7"/>
      <c r="K49" s="8" t="s">
        <v>46</v>
      </c>
    </row>
    <row r="50" customFormat="false" ht="23.85" hidden="false" customHeight="false" outlineLevel="0" collapsed="false">
      <c r="A50" s="8" t="s">
        <v>290</v>
      </c>
      <c r="B50" s="8" t="s">
        <v>283</v>
      </c>
      <c r="C50" s="8" t="s">
        <v>284</v>
      </c>
      <c r="D50" s="8" t="s">
        <v>285</v>
      </c>
      <c r="E50" s="8" t="s">
        <v>286</v>
      </c>
      <c r="F50" s="8" t="s">
        <v>287</v>
      </c>
      <c r="G50" s="8" t="s">
        <v>291</v>
      </c>
      <c r="H50" s="11" t="s">
        <v>289</v>
      </c>
      <c r="I50" s="7"/>
      <c r="J50" s="7"/>
      <c r="K50" s="8" t="s">
        <v>46</v>
      </c>
    </row>
    <row r="51" customFormat="false" ht="23.85" hidden="false" customHeight="false" outlineLevel="0" collapsed="false">
      <c r="A51" s="8" t="s">
        <v>292</v>
      </c>
      <c r="B51" s="8" t="s">
        <v>283</v>
      </c>
      <c r="C51" s="8" t="s">
        <v>284</v>
      </c>
      <c r="D51" s="8" t="s">
        <v>285</v>
      </c>
      <c r="E51" s="8" t="s">
        <v>178</v>
      </c>
      <c r="F51" s="8" t="s">
        <v>271</v>
      </c>
      <c r="G51" s="8" t="s">
        <v>293</v>
      </c>
      <c r="H51" s="11" t="s">
        <v>272</v>
      </c>
      <c r="I51" s="7"/>
      <c r="J51" s="7"/>
      <c r="K51" s="8" t="s">
        <v>46</v>
      </c>
    </row>
    <row r="52" customFormat="false" ht="35.05" hidden="false" customHeight="false" outlineLevel="0" collapsed="false">
      <c r="A52" s="8" t="s">
        <v>294</v>
      </c>
      <c r="B52" s="8" t="s">
        <v>295</v>
      </c>
      <c r="C52" s="8" t="s">
        <v>296</v>
      </c>
      <c r="D52" s="8" t="s">
        <v>297</v>
      </c>
      <c r="E52" s="8" t="s">
        <v>286</v>
      </c>
      <c r="F52" s="8" t="s">
        <v>287</v>
      </c>
      <c r="G52" s="8" t="s">
        <v>298</v>
      </c>
      <c r="H52" s="11" t="s">
        <v>289</v>
      </c>
      <c r="I52" s="7"/>
      <c r="J52" s="7"/>
      <c r="K52" s="8" t="s">
        <v>46</v>
      </c>
    </row>
    <row r="53" customFormat="false" ht="35.05" hidden="false" customHeight="false" outlineLevel="0" collapsed="false">
      <c r="A53" s="8" t="s">
        <v>299</v>
      </c>
      <c r="B53" s="8" t="s">
        <v>295</v>
      </c>
      <c r="C53" s="8" t="s">
        <v>296</v>
      </c>
      <c r="D53" s="8" t="s">
        <v>297</v>
      </c>
      <c r="E53" s="8" t="s">
        <v>178</v>
      </c>
      <c r="F53" s="8" t="s">
        <v>300</v>
      </c>
      <c r="G53" s="8" t="s">
        <v>301</v>
      </c>
      <c r="H53" s="11" t="s">
        <v>302</v>
      </c>
      <c r="I53" s="7"/>
      <c r="J53" s="7"/>
      <c r="K53" s="8" t="s">
        <v>46</v>
      </c>
    </row>
    <row r="54" customFormat="false" ht="46.25" hidden="false" customHeight="false" outlineLevel="0" collapsed="false">
      <c r="A54" s="8" t="s">
        <v>303</v>
      </c>
      <c r="B54" s="8" t="s">
        <v>304</v>
      </c>
      <c r="C54" s="8" t="s">
        <v>305</v>
      </c>
      <c r="D54" s="8" t="s">
        <v>306</v>
      </c>
      <c r="E54" s="8" t="s">
        <v>178</v>
      </c>
      <c r="F54" s="8" t="s">
        <v>307</v>
      </c>
      <c r="G54" s="8" t="s">
        <v>308</v>
      </c>
      <c r="H54" s="11" t="s">
        <v>181</v>
      </c>
      <c r="I54" s="7"/>
      <c r="J54" s="7"/>
      <c r="K54" s="8" t="s">
        <v>46</v>
      </c>
    </row>
    <row r="55" customFormat="false" ht="35.05" hidden="false" customHeight="false" outlineLevel="0" collapsed="false">
      <c r="A55" s="8" t="s">
        <v>309</v>
      </c>
      <c r="B55" s="8" t="s">
        <v>304</v>
      </c>
      <c r="C55" s="8" t="s">
        <v>305</v>
      </c>
      <c r="D55" s="8" t="s">
        <v>306</v>
      </c>
      <c r="E55" s="8" t="s">
        <v>178</v>
      </c>
      <c r="F55" s="8" t="s">
        <v>310</v>
      </c>
      <c r="G55" s="8" t="s">
        <v>311</v>
      </c>
      <c r="H55" s="11" t="s">
        <v>312</v>
      </c>
      <c r="I55" s="7"/>
      <c r="J55" s="7"/>
      <c r="K55" s="8" t="s">
        <v>46</v>
      </c>
    </row>
    <row r="56" customFormat="false" ht="35.05" hidden="false" customHeight="false" outlineLevel="0" collapsed="false">
      <c r="A56" s="8" t="s">
        <v>313</v>
      </c>
      <c r="B56" s="8" t="s">
        <v>314</v>
      </c>
      <c r="C56" s="8" t="s">
        <v>315</v>
      </c>
      <c r="D56" s="8" t="s">
        <v>316</v>
      </c>
      <c r="E56" s="8" t="s">
        <v>178</v>
      </c>
      <c r="F56" s="8" t="s">
        <v>317</v>
      </c>
      <c r="G56" s="8" t="s">
        <v>318</v>
      </c>
      <c r="H56" s="11" t="s">
        <v>319</v>
      </c>
      <c r="I56" s="7"/>
      <c r="J56" s="7"/>
      <c r="K56" s="8" t="s">
        <v>46</v>
      </c>
    </row>
    <row r="57" customFormat="false" ht="35.05" hidden="false" customHeight="false" outlineLevel="0" collapsed="false">
      <c r="A57" s="8" t="s">
        <v>320</v>
      </c>
      <c r="B57" s="8" t="s">
        <v>314</v>
      </c>
      <c r="C57" s="8" t="s">
        <v>315</v>
      </c>
      <c r="D57" s="8" t="s">
        <v>316</v>
      </c>
      <c r="E57" s="8" t="s">
        <v>178</v>
      </c>
      <c r="F57" s="8" t="s">
        <v>321</v>
      </c>
      <c r="G57" s="8" t="s">
        <v>322</v>
      </c>
      <c r="H57" s="11" t="s">
        <v>323</v>
      </c>
      <c r="I57" s="7"/>
      <c r="J57" s="7"/>
      <c r="K57" s="8" t="s">
        <v>46</v>
      </c>
    </row>
    <row r="58" customFormat="false" ht="23.85" hidden="false" customHeight="false" outlineLevel="0" collapsed="false">
      <c r="A58" s="8" t="s">
        <v>324</v>
      </c>
      <c r="B58" s="8" t="s">
        <v>314</v>
      </c>
      <c r="C58" s="8" t="s">
        <v>315</v>
      </c>
      <c r="D58" s="8" t="s">
        <v>316</v>
      </c>
      <c r="E58" s="8" t="s">
        <v>178</v>
      </c>
      <c r="F58" s="8" t="s">
        <v>325</v>
      </c>
      <c r="G58" s="8" t="s">
        <v>326</v>
      </c>
      <c r="H58" s="11" t="s">
        <v>327</v>
      </c>
      <c r="I58" s="7"/>
      <c r="J58" s="7"/>
      <c r="K58" s="8" t="s">
        <v>46</v>
      </c>
    </row>
  </sheetData>
  <dataValidations count="1">
    <dataValidation allowBlank="true" error="اختر: مطابق، أو مطابق بفرق يسير، أو غير مطابق" errorStyle="stop" errorTitle="قيمة غير مقبولة" operator="between" showDropDown="false" showErrorMessage="true" showInputMessage="false" sqref="I2:I58" type="list">
      <formula1>"مطابق,مطابق بفرق يسير,غير مطابق"</formula1>
      <formula2>0</formula2>
    </dataValidation>
  </dataValidations>
  <hyperlinks>
    <hyperlink ref="H2" r:id="rId1" display="https://www.metmuseum.org/essays/the-art-of-the-umayyad-period-in-spain-711-1031"/>
    <hyperlink ref="H3" r:id="rId2" display="https://www.metmuseum.org/essays/the-art-of-the-umayyad-period-in-spain-711-1031"/>
    <hyperlink ref="H4" r:id="rId3" display="https://whc.unesco.org/en/list/313"/>
    <hyperlink ref="H5" r:id="rId4" display="https://shedet.journals.ekb.eg/article_87829_4b1aefcbf0be7e09c877183df0d16b06.pdf"/>
    <hyperlink ref="H6" r:id="rId5" display="https://whc.unesco.org/en/list/313"/>
    <hyperlink ref="H7" r:id="rId6" display="https://whc.unesco.org/en/list/1560"/>
    <hyperlink ref="H8" r:id="rId7" display="https://whc.unesco.org/en/list/313"/>
    <hyperlink ref="H9" r:id="rId8" display="https://www.metmuseum.org/essays/the-art-of-the-umayyad-period-in-spain-711-1031"/>
    <hyperlink ref="H10" r:id="rId9" display="https://www.metmuseum.org/essays/the-art-of-the-umayyad-period-in-spain-711-1031"/>
    <hyperlink ref="H11" r:id="rId10" display="https://islamicart.museumwnf.org/database_item.php?id=monument%3Bisl%3Bes%3Bmon01%3B2%3Ben"/>
    <hyperlink ref="H12" r:id="rId11" display="https://islamicart.museumwnf.org/database_item.php?id=monument%3Bisl%3Bes%3Bmon01%3B2%3Ben"/>
    <hyperlink ref="H13" r:id="rId12" display="https://whc.unesco.org/en/list/313"/>
    <hyperlink ref="H14" r:id="rId13" display="https://islamicart.museumwnf.org/database_item.php?id=monument%3Bisl%3Bes%3Bmon01%3B2%3Ben"/>
    <hyperlink ref="H15" r:id="rId14" display="https://www.metmuseum.org/essays/the-art-of-the-umayyad-period-in-spain-711-1031"/>
    <hyperlink ref="H16" r:id="rId15" display="https://shedet.journals.ekb.eg/article_87829_4b1aefcbf0be7e09c877183df0d16b06.pdf"/>
    <hyperlink ref="H17" r:id="rId16" display="https://islamicart.museumwnf.org/database_item.php?id=monument%3Bisl%3Bes%3Bmon01%3B2%3Ben"/>
    <hyperlink ref="H18" r:id="rId17" display="https://www.britannica.com/biography/Abd-al-Rahman-III"/>
    <hyperlink ref="H19" r:id="rId18" display="https://www.britannica.com/biography/Abd-al-Rahman-III"/>
    <hyperlink ref="H20" r:id="rId19" display="https://www.britannica.com/biography/Abu-al-Qasim"/>
    <hyperlink ref="H21" r:id="rId20" display="https://www.britannica.com/biography/Abu-al-Qasim"/>
    <hyperlink ref="H22" r:id="rId21" display="https://whc.unesco.org/en/list/313"/>
    <hyperlink ref="H23" r:id="rId22" display="https://www.metmuseum.org/essays/the-art-of-the-umayyad-period-in-spain-711-1031"/>
    <hyperlink ref="H24" r:id="rId23" display="https://islamicart.museumwnf.org/database_item.php?id=monument%3Bisl%3Bes%3Bmon01%3B2%3Ben"/>
    <hyperlink ref="H25" r:id="rId24" display="https://shedet.journals.ekb.eg/article_87829_4b1aefcbf0be7e09c877183df0d16b06.pdf"/>
    <hyperlink ref="H26" r:id="rId25" display="https://shedet.journals.ekb.eg/article_87829_4b1aefcbf0be7e09c877183df0d16b06.pdf"/>
    <hyperlink ref="H27" r:id="rId26" display="https://www.metmuseum.org/essays/the-art-of-the-umayyad-period-in-spain-711-1031"/>
    <hyperlink ref="H28" r:id="rId27" display="https://whc.unesco.org/en/list/1560"/>
    <hyperlink ref="H29" r:id="rId28" display="https://www.alhambra-patronato.es/ibn-zamrak-un-poeta-en-la-alhambra"/>
    <hyperlink ref="H30" r:id="rId29" display="https://archive.org/details/ar106biog55"/>
    <hyperlink ref="H31" r:id="rId30" display="https://archive.org/details/ar106biog55"/>
    <hyperlink ref="H32" r:id="rId31" display="https://archive.org/details/ar106biog55"/>
    <hyperlink ref="H33" r:id="rId32" display="https://revistas.uned.es/index.php/ETFIII/article/download/1672/1553/4521"/>
    <hyperlink ref="H34" r:id="rId33" display="https://revistas.uned.es/index.php/ETFIII/article/download/1672/1553/4521"/>
    <hyperlink ref="H37" r:id="rId34" display="https://www.alhambra-patronato.es/descubrir/historia"/>
    <hyperlink ref="H38" r:id="rId35" display="https://www.britannica.com/biography/Muhammad-XI"/>
    <hyperlink ref="H39" r:id="rId36" display="https://www.britannica.com/topic/Nasrid-dynasty"/>
    <hyperlink ref="H40" r:id="rId37" display="https://www.alhambra-patronato.es/descubrir/historia"/>
    <hyperlink ref="H41" r:id="rId38" display="https://www.alhambra-patronato.es/descubrir/historia"/>
    <hyperlink ref="H42" r:id="rId39" display="https://www.britannica.com/topic/Nasrid-dynasty"/>
    <hyperlink ref="H43" r:id="rId40" display="https://www.britannica.com/biography/Muhammad-XI"/>
    <hyperlink ref="H44" r:id="rId41" display="https://www.britannica.com/topic/Nasrid-dynasty"/>
    <hyperlink ref="H45" r:id="rId42" display="https://www.britannica.com/biography/Muhammad-XI"/>
    <hyperlink ref="H46" r:id="rId43" display="https://www.alhambra-patronato.es/descubrir/alhambra-y-generalife/historia"/>
    <hyperlink ref="H47" r:id="rId44" display="https://www.alhambra-patronato.es/descubrir/alhambra-y-generalife/historia"/>
    <hyperlink ref="H48" r:id="rId45" display="https://www.britannica.com/topic/Morisco"/>
    <hyperlink ref="H49" r:id="rId46" display="https://whc.unesco.org/en/list/314"/>
    <hyperlink ref="H50" r:id="rId47" display="https://whc.unesco.org/en/list/314"/>
    <hyperlink ref="H51" r:id="rId48" display="https://www.alhambra-patronato.es/descubrir/alhambra-y-generalife/historia"/>
    <hyperlink ref="H52" r:id="rId49" display="https://whc.unesco.org/en/list/314"/>
    <hyperlink ref="H53" r:id="rId50" display="https://www.alhambra-patronato.es/edificios-lugares/palacio-del-generalife"/>
    <hyperlink ref="H54" r:id="rId51" display="https://www.alhambra-patronato.es/ibn-zamrak-un-poeta-en-la-alhambra"/>
    <hyperlink ref="H55" r:id="rId52" display="https://www.alhambra-patronato.es/yeseria-arrayanes"/>
    <hyperlink ref="H56" r:id="rId53" display="https://www.alhambra-patronato.es/elemento-del-mes/canecillo-del-alero-del-patio-de-comares"/>
    <hyperlink ref="H57" r:id="rId54" display="https://www.alhambra-patronato.es/elemento-del-mes/torre-de-comares"/>
    <hyperlink ref="H58" r:id="rId55" display="https://www.alhambra-patronato.es/edificios-lugares/fachada-de-comar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2026-09-24T10:43:50Z</dcterms:created>
  <dc:creator>openpyxl</dc:creator>
  <dc:description/>
  <dc:language>en-US</dc:language>
  <cp:lastModifiedBy/>
  <dcterms:modified xsi:type="dcterms:W3CDTF">2026-09-24T10:43:50Z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